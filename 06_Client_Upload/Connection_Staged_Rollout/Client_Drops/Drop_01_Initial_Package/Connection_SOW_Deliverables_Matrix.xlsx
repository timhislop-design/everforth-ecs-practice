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W Deliverables Matrix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<sst xmlns="http://schemas.openxmlformats.org/spreadsheetml/2006/main" count="232" uniqueCount="112">
  <si>
    <t xml:space="preserve">CONNECTION - SOW DELIVERABLES MATRIX  (EM Day-1 Reference)</t>
  </si>
  <si>
    <t xml:space="preserve">Every deliverable committed in SOW v2.0 Sections 5, 10-11, mapped to its supporting baseline. Status: Ready (built for Connection) | Adapt from library (pull + tailor when the sprint arrives) | GAP - build.</t>
  </si>
  <si>
    <t xml:space="preserve">#</t>
  </si>
  <si>
    <t xml:space="preserve">Deliverable</t>
  </si>
  <si>
    <t xml:space="preserve">Period</t>
  </si>
  <si>
    <t xml:space="preserve">Type</t>
  </si>
  <si>
    <t xml:space="preserve">Audience</t>
  </si>
  <si>
    <t xml:space="preserve">ECS Owner</t>
  </si>
  <si>
    <t xml:space="preserve">Supporting Baseline (path / file)</t>
  </si>
  <si>
    <t xml:space="preserve">Status</t>
  </si>
  <si>
    <t xml:space="preserve">Notes</t>
  </si>
  <si>
    <t xml:space="preserve">Governance Charter Package - Decision Rights + Customization Council Charter</t>
  </si>
  <si>
    <t xml:space="preserve">Sprint 0</t>
  </si>
  <si>
    <t xml:space="preserve">Doc</t>
  </si>
  <si>
    <t xml:space="preserve">Client</t>
  </si>
  <si>
    <t xml:space="preserve">EM/SA</t>
  </si>
  <si>
    <t xml:space="preserve">01_Onboarding/Client_Facing/Customer_Governance_Charter.docx (+ lib INT-S0-04/05)</t>
  </si>
  <si>
    <t xml:space="preserve">Ready</t>
  </si>
  <si>
    <t xml:space="preserve">Charter built; lib decision-rights/council templates back it</t>
  </si>
  <si>
    <t xml:space="preserve">RACI Matrix (part of Governance Package)</t>
  </si>
  <si>
    <t xml:space="preserve">Joint</t>
  </si>
  <si>
    <t xml:space="preserve">EM</t>
  </si>
  <si>
    <t xml:space="preserve">01_Onboarding/Internal_Team/Connection_Role_and_Accountability_QuickRef.docx</t>
  </si>
  <si>
    <t xml:space="preserve">Adapt from library</t>
  </si>
  <si>
    <t xml:space="preserve">Quick-ref is RACI-style; produce a client-facing RACI cut</t>
  </si>
  <si>
    <t xml:space="preserve">Baseline 18-Week Project Plan</t>
  </si>
  <si>
    <t xml:space="preserve">02_Delivery/Connection_18Week_Project_Plan.xlsx</t>
  </si>
  <si>
    <t xml:space="preserve">Set start date (B3)</t>
  </si>
  <si>
    <t xml:space="preserve">Foundation Data Workbooks (users, locations, groups, SLAs, taxonomy)</t>
  </si>
  <si>
    <t xml:space="preserve">Client (fill)</t>
  </si>
  <si>
    <t xml:space="preserve">PC</t>
  </si>
  <si>
    <t xml:space="preserve">02_Delivery/Accelerator_Packs/Foundation_Accelerator_Pack/</t>
  </si>
  <si>
    <t xml:space="preserve">Distribute Sprint 0</t>
  </si>
  <si>
    <t xml:space="preserve">Baseline Risk Register</t>
  </si>
  <si>
    <t xml:space="preserve">02_Delivery/Connection_Governance_Triage_and_RAID.xlsx (RAID tab) / lib INT-S0-06</t>
  </si>
  <si>
    <t xml:space="preserve">RAID covers it; or use lib risk register template</t>
  </si>
  <si>
    <t xml:space="preserve">Plug-ins installed + core configuration</t>
  </si>
  <si>
    <t xml:space="preserve">Platform Config</t>
  </si>
  <si>
    <t xml:space="preserve">-</t>
  </si>
  <si>
    <t xml:space="preserve">SA/TC</t>
  </si>
  <si>
    <t xml:space="preserve">Workshops/Connection_Platform_Foundation_Workshop.pptx + Foundation pack</t>
  </si>
  <si>
    <t xml:space="preserve">Collateral in place</t>
  </si>
  <si>
    <t xml:space="preserve">Platform Architecture &amp; CSDM Alignment Document</t>
  </si>
  <si>
    <t xml:space="preserve">Month 1</t>
  </si>
  <si>
    <t xml:space="preserve">SA</t>
  </si>
  <si>
    <t xml:space="preserve">02_Delivery/Connection_Platform_Architecture_and_CSDM_Alignment.docx</t>
  </si>
  <si>
    <t xml:space="preserve">Template built; SA completes from CSDM/CMDB workshop</t>
  </si>
  <si>
    <t xml:space="preserve">Sprint 1-2 Design Documentation (workbooks updated w/ decisions)</t>
  </si>
  <si>
    <t xml:space="preserve">PC/SA</t>
  </si>
  <si>
    <t xml:space="preserve">03_Shared/04_Sprint_Workbooks (Platform, CSDM, CMDB, Discovery, Incident)</t>
  </si>
  <si>
    <t xml:space="preserve">Copy sprint workbooks into Connection; update with decisions</t>
  </si>
  <si>
    <t xml:space="preserve">Active Governance Triage Log</t>
  </si>
  <si>
    <t xml:space="preserve">Month 1+</t>
  </si>
  <si>
    <t xml:space="preserve">02_Delivery/Connection_Governance_Triage_and_RAID.xlsx</t>
  </si>
  <si>
    <t xml:space="preserve">Living through Go-Live</t>
  </si>
  <si>
    <t xml:space="preserve">ITSM Core v1 - Incident + Problem configured</t>
  </si>
  <si>
    <t xml:space="preserve">Workshops: Incident, Problem + ITSM pack</t>
  </si>
  <si>
    <t xml:space="preserve">Sprint 3-4 Design Documentation</t>
  </si>
  <si>
    <t xml:space="preserve">Month 2</t>
  </si>
  <si>
    <t xml:space="preserve">03_Shared/04_Sprint_Workbooks (Change, Catalog)</t>
  </si>
  <si>
    <t xml:space="preserve">Copy + update with decisions</t>
  </si>
  <si>
    <t xml:space="preserve">ITSM Core v2 - Request, Change, CAB, SLA, assignment rules</t>
  </si>
  <si>
    <t xml:space="preserve">Workshops: Change + ITSM pack</t>
  </si>
  <si>
    <t xml:space="preserve">Service Catalog Phase 1 - 5 items</t>
  </si>
  <si>
    <t xml:space="preserve">PC/TC</t>
  </si>
  <si>
    <t xml:space="preserve">Workshops: Service Catalog + Service_Catalog pack</t>
  </si>
  <si>
    <t xml:space="preserve">Integration Baseline - AD/SSO + SCCM + Intune validated</t>
  </si>
  <si>
    <t xml:space="preserve">Workshops: Integrations, SGC + Integration pack (AD/SSO/SCCM/Intune)</t>
  </si>
  <si>
    <t xml:space="preserve">Vonage CTI pack also built</t>
  </si>
  <si>
    <t xml:space="preserve">Employee Experience - EC, VA, AI Search, KM</t>
  </si>
  <si>
    <t xml:space="preserve">Month 3</t>
  </si>
  <si>
    <t xml:space="preserve">Workshops: Employee Center, Virtual Agent, Knowledge + packs</t>
  </si>
  <si>
    <t xml:space="preserve">HAM Foundations - stockrooms, asset classes, CSDM data model</t>
  </si>
  <si>
    <t xml:space="preserve">Workshops: HAM + ITAM_HAM_Foundations pack</t>
  </si>
  <si>
    <t xml:space="preserve">Remaining Catalog Items (13-15 total)</t>
  </si>
  <si>
    <t xml:space="preserve">Workshops: Service Catalog + pack</t>
  </si>
  <si>
    <t xml:space="preserve">Performance Analytics - baseline dashboard set</t>
  </si>
  <si>
    <t xml:space="preserve">Workshops: Performance Analytics + PA pack</t>
  </si>
  <si>
    <t xml:space="preserve">UAT Execution Report (results + P1/P2 defect log)</t>
  </si>
  <si>
    <t xml:space="preserve">Go-Live</t>
  </si>
  <si>
    <t xml:space="preserve">QA/PC</t>
  </si>
  <si>
    <t xml:space="preserve">lib 02_Client/06_UAT_Execution (CLT-UAT-02/03) + 01_Internal/08_UAT_Test_Packs</t>
  </si>
  <si>
    <t xml:space="preserve">Strong library coverage; copy into Connection at UAT</t>
  </si>
  <si>
    <t xml:space="preserve">Go-Live Readiness Sign-Off</t>
  </si>
  <si>
    <t xml:space="preserve">lib 02_Client/07_Closeout_and_Hypercare/CLT-CO-02_Go_Live_Checklist.docx</t>
  </si>
  <si>
    <t xml:space="preserve">Tailor checklist to Connection</t>
  </si>
  <si>
    <t xml:space="preserve">KT Package - Administrator Guide / Admin KT (4 sessions)</t>
  </si>
  <si>
    <t xml:space="preserve">02_Delivery/Knowledge_Transfer/Connection_Administrator_Guide_and_KT.docx</t>
  </si>
  <si>
    <t xml:space="preserve">Template built - 4-session Admin KT plan + admin reference</t>
  </si>
  <si>
    <t xml:space="preserve">KT Package - Train-the-Trainer materials (2 per process area)</t>
  </si>
  <si>
    <t xml:space="preserve">02_Delivery/Knowledge_Transfer/Connection_Train_the_Trainer_Toolkit.docx</t>
  </si>
  <si>
    <t xml:space="preserve">Template built - 2 sessions/area; demo-script refs</t>
  </si>
  <si>
    <t xml:space="preserve">KT Package - Sprint workbook set</t>
  </si>
  <si>
    <t xml:space="preserve">03_Shared/04_Sprint_Workbooks (Connection copies)</t>
  </si>
  <si>
    <t xml:space="preserve">Bundle the populated Connection workbooks</t>
  </si>
  <si>
    <t xml:space="preserve">Operational Handoff Pack (ownership matrix, support model, escalation)</t>
  </si>
  <si>
    <t xml:space="preserve">lib CLT-CO-03_Hypercare_Support_Model.docx + RACI</t>
  </si>
  <si>
    <t xml:space="preserve">Add an ownership matrix cut from RACI</t>
  </si>
  <si>
    <t xml:space="preserve">Lessons Learned &amp; Project Closeout</t>
  </si>
  <si>
    <t xml:space="preserve">Close</t>
  </si>
  <si>
    <t xml:space="preserve">lib CLT-CO-01_Engagement_Closeout_Summary.docx + 01_Internal/10_Lessons_Learned</t>
  </si>
  <si>
    <t xml:space="preserve">Copy + complete at close</t>
  </si>
  <si>
    <t xml:space="preserve">Hypercare (support model + exit report)</t>
  </si>
  <si>
    <t xml:space="preserve">lib CLT-CO-03 + CLT-CO-06_Hypercare_Exit_Report.docx</t>
  </si>
  <si>
    <t xml:space="preserve">2-week Hypercare per SOW Sec 11</t>
  </si>
  <si>
    <t xml:space="preserve">Production environment live + verified</t>
  </si>
  <si>
    <t xml:space="preserve">SA/EM</t>
  </si>
  <si>
    <t xml:space="preserve">Cutover via project plan Stage 3</t>
  </si>
  <si>
    <t xml:space="preserve">Governed cutover Wk 16</t>
  </si>
  <si>
    <t xml:space="preserve">SUMMARY</t>
  </si>
  <si>
    <t xml:space="preserve">Total deliverables</t>
  </si>
  <si>
    <t xml:space="preserve">GAP - build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</si>
</sst>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B1F3A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color rgb="FF1A1A1A"/>
      <name val="Calibri"/>
      <family val="0"/>
      <charset val="1"/>
    </font>
    <font>
      <b val="true"/>
      <sz val="11"/>
      <color rgb="FF0B1F3A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0"/>
      <color rgb="FF0B1F3A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1F3A"/>
        <bgColor rgb="FF1A1A1A"/>
      </patternFill>
    </fill>
    <fill>
      <patternFill patternType="solid">
        <fgColor rgb="FFF8FAF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DCFCE7"/>
        </patternFill>
      </fill>
    </dxf>
    <dxf>
      <fill>
        <patternFill>
          <bgColor rgb="FFDBEAFE"/>
        </patternFill>
      </fill>
    </dxf>
    <dxf>
      <fill>
        <patternFill>
          <bgColor rgb="FFFEF3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DCFCE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2E8F0"/>
      <rgbColor rgb="FFF8FAF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0B1F3A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52"/>
    <col collapsed="false" customWidth="true" hidden="false" outlineLevel="0" max="8" min="8" style="0" width="18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20.85" hidden="false" customHeight="false" outlineLevel="0" collapsed="false">
      <c r="A5" s="4" t="n">
        <v>1</v>
      </c>
      <c r="B5" s="4" t="s">
        <v>11</v>
      </c>
      <c r="C5" s="4" t="s">
        <v>12</v>
      </c>
      <c r="D5" s="4" t="s">
        <v>13</v>
      </c>
      <c r="E5" s="4" t="s">
        <v>14</v>
      </c>
      <c r="F5" s="4" t="s">
        <v>15</v>
      </c>
      <c r="G5" s="4" t="s">
        <v>16</v>
      </c>
      <c r="H5" s="4" t="s">
        <v>17</v>
      </c>
      <c r="I5" s="4" t="s">
        <v>18</v>
      </c>
    </row>
    <row r="6" customFormat="false" ht="20.85" hidden="false" customHeight="false" outlineLevel="0" collapsed="false">
      <c r="A6" s="5" t="n">
        <v>2</v>
      </c>
      <c r="B6" s="5" t="s">
        <v>19</v>
      </c>
      <c r="C6" s="5" t="s">
        <v>12</v>
      </c>
      <c r="D6" s="5" t="s">
        <v>13</v>
      </c>
      <c r="E6" s="5" t="s">
        <v>20</v>
      </c>
      <c r="F6" s="5" t="s">
        <v>21</v>
      </c>
      <c r="G6" s="5" t="s">
        <v>22</v>
      </c>
      <c r="H6" s="5" t="s">
        <v>23</v>
      </c>
      <c r="I6" s="5" t="s">
        <v>24</v>
      </c>
    </row>
    <row r="7" customFormat="false" ht="15" hidden="false" customHeight="false" outlineLevel="0" collapsed="false">
      <c r="A7" s="4" t="n">
        <v>3</v>
      </c>
      <c r="B7" s="4" t="s">
        <v>25</v>
      </c>
      <c r="C7" s="4" t="s">
        <v>12</v>
      </c>
      <c r="D7" s="4" t="s">
        <v>13</v>
      </c>
      <c r="E7" s="4" t="s">
        <v>20</v>
      </c>
      <c r="F7" s="4" t="s">
        <v>21</v>
      </c>
      <c r="G7" s="4" t="s">
        <v>26</v>
      </c>
      <c r="H7" s="4" t="s">
        <v>17</v>
      </c>
      <c r="I7" s="4" t="s">
        <v>27</v>
      </c>
    </row>
    <row r="8" customFormat="false" ht="20.85" hidden="false" customHeight="false" outlineLevel="0" collapsed="false">
      <c r="A8" s="5" t="n">
        <v>4</v>
      </c>
      <c r="B8" s="5" t="s">
        <v>28</v>
      </c>
      <c r="C8" s="5" t="s">
        <v>12</v>
      </c>
      <c r="D8" s="5" t="s">
        <v>13</v>
      </c>
      <c r="E8" s="5" t="s">
        <v>29</v>
      </c>
      <c r="F8" s="5" t="s">
        <v>30</v>
      </c>
      <c r="G8" s="5" t="s">
        <v>31</v>
      </c>
      <c r="H8" s="5" t="s">
        <v>17</v>
      </c>
      <c r="I8" s="5" t="s">
        <v>32</v>
      </c>
    </row>
    <row r="9" customFormat="false" ht="20.85" hidden="false" customHeight="false" outlineLevel="0" collapsed="false">
      <c r="A9" s="4" t="n">
        <v>5</v>
      </c>
      <c r="B9" s="4" t="s">
        <v>33</v>
      </c>
      <c r="C9" s="4" t="s">
        <v>12</v>
      </c>
      <c r="D9" s="4" t="s">
        <v>13</v>
      </c>
      <c r="E9" s="4" t="s">
        <v>20</v>
      </c>
      <c r="F9" s="4" t="s">
        <v>21</v>
      </c>
      <c r="G9" s="4" t="s">
        <v>34</v>
      </c>
      <c r="H9" s="4" t="s">
        <v>17</v>
      </c>
      <c r="I9" s="4" t="s">
        <v>35</v>
      </c>
    </row>
    <row r="10" customFormat="false" ht="20.85" hidden="false" customHeight="false" outlineLevel="0" collapsed="false">
      <c r="A10" s="5" t="n">
        <v>6</v>
      </c>
      <c r="B10" s="5" t="s">
        <v>36</v>
      </c>
      <c r="C10" s="5" t="s">
        <v>12</v>
      </c>
      <c r="D10" s="5" t="s">
        <v>37</v>
      </c>
      <c r="E10" s="5" t="s">
        <v>38</v>
      </c>
      <c r="F10" s="5" t="s">
        <v>39</v>
      </c>
      <c r="G10" s="5" t="s">
        <v>40</v>
      </c>
      <c r="H10" s="5" t="s">
        <v>17</v>
      </c>
      <c r="I10" s="5" t="s">
        <v>41</v>
      </c>
    </row>
    <row r="11" customFormat="false" ht="20.85" hidden="false" customHeight="false" outlineLevel="0" collapsed="false">
      <c r="A11" s="4" t="n">
        <v>7</v>
      </c>
      <c r="B11" s="4" t="s">
        <v>42</v>
      </c>
      <c r="C11" s="4" t="s">
        <v>43</v>
      </c>
      <c r="D11" s="4" t="s">
        <v>13</v>
      </c>
      <c r="E11" s="4" t="s">
        <v>14</v>
      </c>
      <c r="F11" s="4" t="s">
        <v>44</v>
      </c>
      <c r="G11" s="4" t="s">
        <v>45</v>
      </c>
      <c r="H11" s="4" t="s">
        <v>17</v>
      </c>
      <c r="I11" s="4" t="s">
        <v>46</v>
      </c>
    </row>
    <row r="12" customFormat="false" ht="20.85" hidden="false" customHeight="false" outlineLevel="0" collapsed="false">
      <c r="A12" s="5" t="n">
        <v>8</v>
      </c>
      <c r="B12" s="5" t="s">
        <v>47</v>
      </c>
      <c r="C12" s="5" t="s">
        <v>43</v>
      </c>
      <c r="D12" s="5" t="s">
        <v>13</v>
      </c>
      <c r="E12" s="5" t="s">
        <v>20</v>
      </c>
      <c r="F12" s="5" t="s">
        <v>48</v>
      </c>
      <c r="G12" s="5" t="s">
        <v>49</v>
      </c>
      <c r="H12" s="5" t="s">
        <v>23</v>
      </c>
      <c r="I12" s="5" t="s">
        <v>50</v>
      </c>
    </row>
    <row r="13" customFormat="false" ht="15" hidden="false" customHeight="false" outlineLevel="0" collapsed="false">
      <c r="A13" s="4" t="n">
        <v>9</v>
      </c>
      <c r="B13" s="4" t="s">
        <v>51</v>
      </c>
      <c r="C13" s="4" t="s">
        <v>52</v>
      </c>
      <c r="D13" s="4" t="s">
        <v>13</v>
      </c>
      <c r="E13" s="4" t="s">
        <v>20</v>
      </c>
      <c r="F13" s="4" t="s">
        <v>21</v>
      </c>
      <c r="G13" s="4" t="s">
        <v>53</v>
      </c>
      <c r="H13" s="4" t="s">
        <v>17</v>
      </c>
      <c r="I13" s="4" t="s">
        <v>54</v>
      </c>
    </row>
    <row r="14" customFormat="false" ht="15" hidden="false" customHeight="false" outlineLevel="0" collapsed="false">
      <c r="A14" s="5" t="n">
        <v>10</v>
      </c>
      <c r="B14" s="5" t="s">
        <v>55</v>
      </c>
      <c r="C14" s="5" t="s">
        <v>43</v>
      </c>
      <c r="D14" s="5" t="s">
        <v>37</v>
      </c>
      <c r="E14" s="5" t="s">
        <v>38</v>
      </c>
      <c r="F14" s="5" t="s">
        <v>39</v>
      </c>
      <c r="G14" s="5" t="s">
        <v>56</v>
      </c>
      <c r="H14" s="5" t="s">
        <v>17</v>
      </c>
      <c r="I14" s="5" t="s">
        <v>41</v>
      </c>
    </row>
    <row r="15" customFormat="false" ht="15" hidden="false" customHeight="false" outlineLevel="0" collapsed="false">
      <c r="A15" s="4" t="n">
        <v>11</v>
      </c>
      <c r="B15" s="4" t="s">
        <v>57</v>
      </c>
      <c r="C15" s="4" t="s">
        <v>58</v>
      </c>
      <c r="D15" s="4" t="s">
        <v>13</v>
      </c>
      <c r="E15" s="4" t="s">
        <v>20</v>
      </c>
      <c r="F15" s="4" t="s">
        <v>48</v>
      </c>
      <c r="G15" s="4" t="s">
        <v>59</v>
      </c>
      <c r="H15" s="4" t="s">
        <v>23</v>
      </c>
      <c r="I15" s="4" t="s">
        <v>60</v>
      </c>
    </row>
    <row r="16" customFormat="false" ht="15" hidden="false" customHeight="false" outlineLevel="0" collapsed="false">
      <c r="A16" s="5" t="n">
        <v>12</v>
      </c>
      <c r="B16" s="5" t="s">
        <v>61</v>
      </c>
      <c r="C16" s="5" t="s">
        <v>58</v>
      </c>
      <c r="D16" s="5" t="s">
        <v>37</v>
      </c>
      <c r="E16" s="5" t="s">
        <v>38</v>
      </c>
      <c r="F16" s="5" t="s">
        <v>39</v>
      </c>
      <c r="G16" s="5" t="s">
        <v>62</v>
      </c>
      <c r="H16" s="5" t="s">
        <v>17</v>
      </c>
      <c r="I16" s="5" t="s">
        <v>41</v>
      </c>
    </row>
    <row r="17" customFormat="false" ht="15" hidden="false" customHeight="false" outlineLevel="0" collapsed="false">
      <c r="A17" s="4" t="n">
        <v>13</v>
      </c>
      <c r="B17" s="4" t="s">
        <v>63</v>
      </c>
      <c r="C17" s="4" t="s">
        <v>58</v>
      </c>
      <c r="D17" s="4" t="s">
        <v>37</v>
      </c>
      <c r="E17" s="4" t="s">
        <v>38</v>
      </c>
      <c r="F17" s="4" t="s">
        <v>64</v>
      </c>
      <c r="G17" s="4" t="s">
        <v>65</v>
      </c>
      <c r="H17" s="4" t="s">
        <v>17</v>
      </c>
      <c r="I17" s="4" t="s">
        <v>41</v>
      </c>
    </row>
    <row r="18" customFormat="false" ht="20.85" hidden="false" customHeight="false" outlineLevel="0" collapsed="false">
      <c r="A18" s="5" t="n">
        <v>14</v>
      </c>
      <c r="B18" s="5" t="s">
        <v>66</v>
      </c>
      <c r="C18" s="5" t="s">
        <v>58</v>
      </c>
      <c r="D18" s="5" t="s">
        <v>37</v>
      </c>
      <c r="E18" s="5" t="s">
        <v>38</v>
      </c>
      <c r="F18" s="5" t="s">
        <v>39</v>
      </c>
      <c r="G18" s="5" t="s">
        <v>67</v>
      </c>
      <c r="H18" s="5" t="s">
        <v>17</v>
      </c>
      <c r="I18" s="5" t="s">
        <v>68</v>
      </c>
    </row>
    <row r="19" customFormat="false" ht="15" hidden="false" customHeight="false" outlineLevel="0" collapsed="false">
      <c r="A19" s="4" t="n">
        <v>15</v>
      </c>
      <c r="B19" s="4" t="s">
        <v>69</v>
      </c>
      <c r="C19" s="4" t="s">
        <v>70</v>
      </c>
      <c r="D19" s="4" t="s">
        <v>37</v>
      </c>
      <c r="E19" s="4" t="s">
        <v>38</v>
      </c>
      <c r="F19" s="4" t="s">
        <v>64</v>
      </c>
      <c r="G19" s="4" t="s">
        <v>71</v>
      </c>
      <c r="H19" s="4" t="s">
        <v>17</v>
      </c>
      <c r="I19" s="4" t="s">
        <v>41</v>
      </c>
    </row>
    <row r="20" customFormat="false" ht="20.85" hidden="false" customHeight="false" outlineLevel="0" collapsed="false">
      <c r="A20" s="5" t="n">
        <v>16</v>
      </c>
      <c r="B20" s="5" t="s">
        <v>72</v>
      </c>
      <c r="C20" s="5" t="s">
        <v>70</v>
      </c>
      <c r="D20" s="5" t="s">
        <v>37</v>
      </c>
      <c r="E20" s="5" t="s">
        <v>38</v>
      </c>
      <c r="F20" s="5" t="s">
        <v>39</v>
      </c>
      <c r="G20" s="5" t="s">
        <v>73</v>
      </c>
      <c r="H20" s="5" t="s">
        <v>17</v>
      </c>
      <c r="I20" s="5" t="s">
        <v>41</v>
      </c>
    </row>
    <row r="21" customFormat="false" ht="15" hidden="false" customHeight="false" outlineLevel="0" collapsed="false">
      <c r="A21" s="4" t="n">
        <v>17</v>
      </c>
      <c r="B21" s="4" t="s">
        <v>74</v>
      </c>
      <c r="C21" s="4" t="s">
        <v>70</v>
      </c>
      <c r="D21" s="4" t="s">
        <v>37</v>
      </c>
      <c r="E21" s="4" t="s">
        <v>38</v>
      </c>
      <c r="F21" s="4" t="s">
        <v>64</v>
      </c>
      <c r="G21" s="4" t="s">
        <v>75</v>
      </c>
      <c r="H21" s="4" t="s">
        <v>17</v>
      </c>
      <c r="I21" s="4" t="s">
        <v>41</v>
      </c>
    </row>
    <row r="22" customFormat="false" ht="15" hidden="false" customHeight="false" outlineLevel="0" collapsed="false">
      <c r="A22" s="5" t="n">
        <v>18</v>
      </c>
      <c r="B22" s="5" t="s">
        <v>76</v>
      </c>
      <c r="C22" s="5" t="s">
        <v>70</v>
      </c>
      <c r="D22" s="5" t="s">
        <v>37</v>
      </c>
      <c r="E22" s="5" t="s">
        <v>38</v>
      </c>
      <c r="F22" s="5" t="s">
        <v>44</v>
      </c>
      <c r="G22" s="5" t="s">
        <v>77</v>
      </c>
      <c r="H22" s="5" t="s">
        <v>17</v>
      </c>
      <c r="I22" s="5" t="s">
        <v>41</v>
      </c>
    </row>
    <row r="23" customFormat="false" ht="20.85" hidden="false" customHeight="false" outlineLevel="0" collapsed="false">
      <c r="A23" s="4" t="n">
        <v>19</v>
      </c>
      <c r="B23" s="4" t="s">
        <v>78</v>
      </c>
      <c r="C23" s="4" t="s">
        <v>79</v>
      </c>
      <c r="D23" s="4" t="s">
        <v>13</v>
      </c>
      <c r="E23" s="4" t="s">
        <v>20</v>
      </c>
      <c r="F23" s="4" t="s">
        <v>80</v>
      </c>
      <c r="G23" s="4" t="s">
        <v>81</v>
      </c>
      <c r="H23" s="4" t="s">
        <v>23</v>
      </c>
      <c r="I23" s="4" t="s">
        <v>82</v>
      </c>
    </row>
    <row r="24" customFormat="false" ht="20.85" hidden="false" customHeight="false" outlineLevel="0" collapsed="false">
      <c r="A24" s="5" t="n">
        <v>20</v>
      </c>
      <c r="B24" s="5" t="s">
        <v>83</v>
      </c>
      <c r="C24" s="5" t="s">
        <v>79</v>
      </c>
      <c r="D24" s="5" t="s">
        <v>13</v>
      </c>
      <c r="E24" s="5" t="s">
        <v>14</v>
      </c>
      <c r="F24" s="5" t="s">
        <v>21</v>
      </c>
      <c r="G24" s="5" t="s">
        <v>84</v>
      </c>
      <c r="H24" s="5" t="s">
        <v>23</v>
      </c>
      <c r="I24" s="5" t="s">
        <v>85</v>
      </c>
    </row>
    <row r="25" customFormat="false" ht="20.85" hidden="false" customHeight="false" outlineLevel="0" collapsed="false">
      <c r="A25" s="4" t="n">
        <v>21</v>
      </c>
      <c r="B25" s="4" t="s">
        <v>86</v>
      </c>
      <c r="C25" s="4" t="s">
        <v>79</v>
      </c>
      <c r="D25" s="4" t="s">
        <v>13</v>
      </c>
      <c r="E25" s="4" t="s">
        <v>14</v>
      </c>
      <c r="F25" s="4" t="s">
        <v>44</v>
      </c>
      <c r="G25" s="4" t="s">
        <v>87</v>
      </c>
      <c r="H25" s="4" t="s">
        <v>17</v>
      </c>
      <c r="I25" s="4" t="s">
        <v>88</v>
      </c>
    </row>
    <row r="26" customFormat="false" ht="20.85" hidden="false" customHeight="false" outlineLevel="0" collapsed="false">
      <c r="A26" s="5" t="n">
        <v>22</v>
      </c>
      <c r="B26" s="5" t="s">
        <v>89</v>
      </c>
      <c r="C26" s="5" t="s">
        <v>79</v>
      </c>
      <c r="D26" s="5" t="s">
        <v>13</v>
      </c>
      <c r="E26" s="5" t="s">
        <v>14</v>
      </c>
      <c r="F26" s="5" t="s">
        <v>30</v>
      </c>
      <c r="G26" s="5" t="s">
        <v>90</v>
      </c>
      <c r="H26" s="5" t="s">
        <v>17</v>
      </c>
      <c r="I26" s="5" t="s">
        <v>91</v>
      </c>
    </row>
    <row r="27" customFormat="false" ht="15" hidden="false" customHeight="false" outlineLevel="0" collapsed="false">
      <c r="A27" s="4" t="n">
        <v>23</v>
      </c>
      <c r="B27" s="4" t="s">
        <v>92</v>
      </c>
      <c r="C27" s="4" t="s">
        <v>79</v>
      </c>
      <c r="D27" s="4" t="s">
        <v>13</v>
      </c>
      <c r="E27" s="4" t="s">
        <v>20</v>
      </c>
      <c r="F27" s="4" t="s">
        <v>30</v>
      </c>
      <c r="G27" s="4" t="s">
        <v>93</v>
      </c>
      <c r="H27" s="4" t="s">
        <v>23</v>
      </c>
      <c r="I27" s="4" t="s">
        <v>94</v>
      </c>
    </row>
    <row r="28" customFormat="false" ht="20.85" hidden="false" customHeight="false" outlineLevel="0" collapsed="false">
      <c r="A28" s="5" t="n">
        <v>24</v>
      </c>
      <c r="B28" s="5" t="s">
        <v>95</v>
      </c>
      <c r="C28" s="5" t="s">
        <v>79</v>
      </c>
      <c r="D28" s="5" t="s">
        <v>13</v>
      </c>
      <c r="E28" s="5" t="s">
        <v>20</v>
      </c>
      <c r="F28" s="5" t="s">
        <v>21</v>
      </c>
      <c r="G28" s="5" t="s">
        <v>96</v>
      </c>
      <c r="H28" s="5" t="s">
        <v>23</v>
      </c>
      <c r="I28" s="5" t="s">
        <v>97</v>
      </c>
    </row>
    <row r="29" customFormat="false" ht="20.85" hidden="false" customHeight="false" outlineLevel="0" collapsed="false">
      <c r="A29" s="4" t="n">
        <v>25</v>
      </c>
      <c r="B29" s="4" t="s">
        <v>98</v>
      </c>
      <c r="C29" s="4" t="s">
        <v>99</v>
      </c>
      <c r="D29" s="4" t="s">
        <v>13</v>
      </c>
      <c r="E29" s="4" t="s">
        <v>20</v>
      </c>
      <c r="F29" s="4" t="s">
        <v>21</v>
      </c>
      <c r="G29" s="4" t="s">
        <v>100</v>
      </c>
      <c r="H29" s="4" t="s">
        <v>23</v>
      </c>
      <c r="I29" s="4" t="s">
        <v>101</v>
      </c>
    </row>
    <row r="30" customFormat="false" ht="15" hidden="false" customHeight="false" outlineLevel="0" collapsed="false">
      <c r="A30" s="5" t="n">
        <v>26</v>
      </c>
      <c r="B30" s="5" t="s">
        <v>102</v>
      </c>
      <c r="C30" s="5" t="s">
        <v>99</v>
      </c>
      <c r="D30" s="5" t="s">
        <v>13</v>
      </c>
      <c r="E30" s="5" t="s">
        <v>20</v>
      </c>
      <c r="F30" s="5" t="s">
        <v>21</v>
      </c>
      <c r="G30" s="5" t="s">
        <v>103</v>
      </c>
      <c r="H30" s="5" t="s">
        <v>23</v>
      </c>
      <c r="I30" s="5" t="s">
        <v>104</v>
      </c>
    </row>
    <row r="31" customFormat="false" ht="15" hidden="false" customHeight="false" outlineLevel="0" collapsed="false">
      <c r="A31" s="4" t="n">
        <v>27</v>
      </c>
      <c r="B31" s="4" t="s">
        <v>105</v>
      </c>
      <c r="C31" s="4" t="s">
        <v>79</v>
      </c>
      <c r="D31" s="4" t="s">
        <v>37</v>
      </c>
      <c r="E31" s="4" t="s">
        <v>38</v>
      </c>
      <c r="F31" s="4" t="s">
        <v>106</v>
      </c>
      <c r="G31" s="4" t="s">
        <v>107</v>
      </c>
      <c r="H31" s="4" t="s">
        <v>17</v>
      </c>
      <c r="I31" s="4" t="s">
        <v>108</v>
      </c>
    </row>
    <row r="33" customFormat="false" ht="15" hidden="false" customHeight="false" outlineLevel="0" collapsed="false">
      <c r="A33" s="6" t="s">
        <v>109</v>
      </c>
    </row>
    <row r="34" customFormat="false" ht="15" hidden="false" customHeight="false" outlineLevel="0" collapsed="false">
      <c r="A34" s="7" t="s">
        <v>110</v>
      </c>
      <c r="B34" s="8" t="n">
        <f aca="false">COUNTA(B5:B31)</f>
        <v>27</v>
      </c>
    </row>
    <row r="35" customFormat="false" ht="15" hidden="false" customHeight="false" outlineLevel="0" collapsed="false">
      <c r="A35" s="7" t="s">
        <v>17</v>
      </c>
      <c r="B35" s="8" t="n">
        <f aca="false">COUNTIF(H5:H31,"Ready")</f>
        <v>18</v>
      </c>
    </row>
    <row r="36" customFormat="false" ht="15" hidden="false" customHeight="false" outlineLevel="0" collapsed="false">
      <c r="A36" s="7" t="s">
        <v>23</v>
      </c>
      <c r="B36" s="8" t="n">
        <f aca="false">COUNTIF(H5:H31,"Adapt from library")</f>
        <v>9</v>
      </c>
    </row>
    <row r="37" customFormat="false" ht="15" hidden="false" customHeight="false" outlineLevel="0" collapsed="false">
      <c r="A37" s="7" t="s">
        <v>111</v>
      </c>
      <c r="B37" s="8" t="n">
        <f aca="false">COUNTIF(H5:H31,"GAP - build")</f>
        <v>0</v>
      </c>
    </row>
  </sheetData>
  <conditionalFormatting sqref="H5:H31">
    <cfRule type="cellIs" priority="2" operator="equal" aboveAverage="0" equalAverage="0" bottom="0" percent="0" rank="0" text="" dxfId="0">
      <formula>"Ready"</formula>
    </cfRule>
    <cfRule type="cellIs" priority="3" operator="equal" aboveAverage="0" equalAverage="0" bottom="0" percent="0" rank="0" text="" dxfId="1">
      <formula>"Adapt from library"</formula>
    </cfRule>
    <cfRule type="cellIs" priority="4" operator="equal" aboveAverage="0" equalAverage="0" bottom="0" percent="0" rank="0" text="" dxfId="2">
      <formula>"GAP - build"</formula>
    </cfRule>
  </conditionalFormatting>
  <dataValidations count="1">
    <dataValidation allowBlank="true" errorStyle="stop" operator="between" showDropDown="false" showErrorMessage="false" showInputMessage="false" sqref="H5:H31" type="list">
      <formula1>"Ready,Adapt from library,GAP - build"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2026-06-09T20:00:11Z</dcterms:created>
  <dc:creator>openpyxl</dc:creator>
  <dc:description/>
  <dc:language>en-US</dc:language>
  <cp:lastModifiedBy/>
  <dcterms:modified xsi:type="dcterms:W3CDTF">2026-06-09T20:00:11Z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