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-Live Readine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<sst xmlns="http://schemas.openxmlformats.org/spreadsheetml/2006/main" count="111" uniqueCount="59">
  <si>
    <t xml:space="preserve">CONNECTION - GO-LIVE READINESS CHECKLIST (go/no-go gate, Week 16)</t>
  </si>
  <si>
    <t xml:space="preserve">Every Gate=Yes criterion must be Met (or have an agreed plan) before go-live. The EM compiles; the Product Owner and Executive Sponsor authorize.</t>
  </si>
  <si>
    <t xml:space="preserve">#</t>
  </si>
  <si>
    <t xml:space="preserve">Category</t>
  </si>
  <si>
    <t xml:space="preserve">Readiness Criterion</t>
  </si>
  <si>
    <t xml:space="preserve">Owner</t>
  </si>
  <si>
    <t xml:space="preserve">Status</t>
  </si>
  <si>
    <t xml:space="preserve">Gate (blocking?)</t>
  </si>
  <si>
    <t xml:space="preserve">Evidence / Notes</t>
  </si>
  <si>
    <t xml:space="preserve">Configuration</t>
  </si>
  <si>
    <t xml:space="preserve">All in-scope configuration stories Done and demo-accepted by the Product Owner</t>
  </si>
  <si>
    <t xml:space="preserve">Solution Architect</t>
  </si>
  <si>
    <t xml:space="preserve">Not Started</t>
  </si>
  <si>
    <t xml:space="preserve">Yes</t>
  </si>
  <si>
    <t xml:space="preserve">No open P1/P2 configuration defects</t>
  </si>
  <si>
    <t xml:space="preserve">Data</t>
  </si>
  <si>
    <t xml:space="preserve">Foundation data loaded and validated; CMDB Health meets the agreed baseline</t>
  </si>
  <si>
    <t xml:space="preserve">CMDB SME</t>
  </si>
  <si>
    <t xml:space="preserve">Knowledge baseline content seeded and published</t>
  </si>
  <si>
    <t xml:space="preserve">Knowledge Manager</t>
  </si>
  <si>
    <t xml:space="preserve">No</t>
  </si>
  <si>
    <t xml:space="preserve">Integrations</t>
  </si>
  <si>
    <t xml:space="preserve">AD/SSO, SCCM, Intune, and email validated in production-like environment</t>
  </si>
  <si>
    <t xml:space="preserve">Integration Engineer</t>
  </si>
  <si>
    <t xml:space="preserve">Vonage CTI / Interactions validated (inbound call -&gt; Interaction -&gt; Incident/Request)</t>
  </si>
  <si>
    <t xml:space="preserve">CTI Engineer</t>
  </si>
  <si>
    <t xml:space="preserve">Testing</t>
  </si>
  <si>
    <t xml:space="preserve">SIT complete with integration touchpoints validated</t>
  </si>
  <si>
    <t xml:space="preserve">Technical Consultant</t>
  </si>
  <si>
    <t xml:space="preserve">UAT executed; pass rate meets the agreed threshold; P1/P2 defects resolved or have an agreed plan</t>
  </si>
  <si>
    <t xml:space="preserve">UAT Lead</t>
  </si>
  <si>
    <t xml:space="preserve">Training &amp; KT</t>
  </si>
  <si>
    <t xml:space="preserve">Admin KT (4 sessions) delivered; Administrator Guide handed over</t>
  </si>
  <si>
    <t xml:space="preserve">Train-the-Trainer sessions delivered per process area</t>
  </si>
  <si>
    <t xml:space="preserve">Process Consultant</t>
  </si>
  <si>
    <t xml:space="preserve">Knowledge Transfer Package assembled and accepted</t>
  </si>
  <si>
    <t xml:space="preserve">Cutover</t>
  </si>
  <si>
    <t xml:space="preserve">Cutover Runbook reviewed and approved; rollback plan ready</t>
  </si>
  <si>
    <t xml:space="preserve">Cutover window scheduled and communicated; freeze in effect</t>
  </si>
  <si>
    <t xml:space="preserve">Engagement Manager</t>
  </si>
  <si>
    <t xml:space="preserve">Support</t>
  </si>
  <si>
    <t xml:space="preserve">Hypercare support model agreed; ECS L2+ coverage confirmed for the window</t>
  </si>
  <si>
    <t xml:space="preserve">Connection Service Desk ready for L0-L1 intake; escalation contacts confirmed</t>
  </si>
  <si>
    <t xml:space="preserve">Connection PM</t>
  </si>
  <si>
    <t xml:space="preserve">Governance</t>
  </si>
  <si>
    <t xml:space="preserve">All open deviations in the Triage Log dispositioned; no blocking PCRs open</t>
  </si>
  <si>
    <t xml:space="preserve">Risk register has no open go-live blockers (or each has a mitigation)</t>
  </si>
  <si>
    <t xml:space="preserve">Sign-offs</t>
  </si>
  <si>
    <t xml:space="preserve">Product Owner acceptance of the configured platform</t>
  </si>
  <si>
    <t xml:space="preserve">Product Owner</t>
  </si>
  <si>
    <t xml:space="preserve">Executive Sponsor go-live authorization (signed)</t>
  </si>
  <si>
    <t xml:space="preserve">Executive Sponsor</t>
  </si>
  <si>
    <t xml:space="preserve">SUMMARY</t>
  </si>
  <si>
    <t xml:space="preserve">Total criteria</t>
  </si>
  <si>
    <t xml:space="preserve">Met</t>
  </si>
  <si>
    <t xml:space="preserve">Blocking gates</t>
  </si>
  <si>
    <t xml:space="preserve">Blocking gates Met</t>
  </si>
  <si>
    <t xml:space="preserve">Blocking gates NOT met</t>
  </si>
  <si>
    <t xml:space="preserve">GO / NO-GO: GO only when all blocking gates are Met.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</si>
</sst>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B1F3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F9C3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0" hidden="false" customHeight="true" outlineLevel="0" collapsed="false">
      <c r="A5" s="4" t="n">
        <v>1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/>
    </row>
    <row r="6" customFormat="false" ht="30" hidden="false" customHeight="true" outlineLevel="0" collapsed="false">
      <c r="A6" s="5" t="n">
        <v>2</v>
      </c>
      <c r="B6" s="5" t="s">
        <v>9</v>
      </c>
      <c r="C6" s="5" t="s">
        <v>14</v>
      </c>
      <c r="D6" s="5" t="s">
        <v>11</v>
      </c>
      <c r="E6" s="5" t="s">
        <v>12</v>
      </c>
      <c r="F6" s="5" t="s">
        <v>13</v>
      </c>
      <c r="G6" s="5"/>
    </row>
    <row r="7" customFormat="false" ht="30" hidden="false" customHeight="true" outlineLevel="0" collapsed="false">
      <c r="A7" s="4" t="n">
        <v>3</v>
      </c>
      <c r="B7" s="4" t="s">
        <v>15</v>
      </c>
      <c r="C7" s="4" t="s">
        <v>16</v>
      </c>
      <c r="D7" s="4" t="s">
        <v>17</v>
      </c>
      <c r="E7" s="4" t="s">
        <v>12</v>
      </c>
      <c r="F7" s="4" t="s">
        <v>13</v>
      </c>
      <c r="G7" s="4"/>
    </row>
    <row r="8" customFormat="false" ht="30" hidden="false" customHeight="true" outlineLevel="0" collapsed="false">
      <c r="A8" s="5" t="n">
        <v>4</v>
      </c>
      <c r="B8" s="5" t="s">
        <v>15</v>
      </c>
      <c r="C8" s="5" t="s">
        <v>18</v>
      </c>
      <c r="D8" s="5" t="s">
        <v>19</v>
      </c>
      <c r="E8" s="5" t="s">
        <v>12</v>
      </c>
      <c r="F8" s="5" t="s">
        <v>20</v>
      </c>
      <c r="G8" s="5"/>
    </row>
    <row r="9" customFormat="false" ht="30" hidden="false" customHeight="true" outlineLevel="0" collapsed="false">
      <c r="A9" s="4" t="n">
        <v>5</v>
      </c>
      <c r="B9" s="4" t="s">
        <v>21</v>
      </c>
      <c r="C9" s="4" t="s">
        <v>22</v>
      </c>
      <c r="D9" s="4" t="s">
        <v>23</v>
      </c>
      <c r="E9" s="4" t="s">
        <v>12</v>
      </c>
      <c r="F9" s="4" t="s">
        <v>13</v>
      </c>
      <c r="G9" s="4"/>
    </row>
    <row r="10" customFormat="false" ht="30" hidden="false" customHeight="true" outlineLevel="0" collapsed="false">
      <c r="A10" s="5" t="n">
        <v>6</v>
      </c>
      <c r="B10" s="5" t="s">
        <v>21</v>
      </c>
      <c r="C10" s="5" t="s">
        <v>24</v>
      </c>
      <c r="D10" s="5" t="s">
        <v>25</v>
      </c>
      <c r="E10" s="5" t="s">
        <v>12</v>
      </c>
      <c r="F10" s="5" t="s">
        <v>13</v>
      </c>
      <c r="G10" s="5"/>
    </row>
    <row r="11" customFormat="false" ht="30" hidden="false" customHeight="true" outlineLevel="0" collapsed="false">
      <c r="A11" s="4" t="n">
        <v>7</v>
      </c>
      <c r="B11" s="4" t="s">
        <v>26</v>
      </c>
      <c r="C11" s="4" t="s">
        <v>27</v>
      </c>
      <c r="D11" s="4" t="s">
        <v>28</v>
      </c>
      <c r="E11" s="4" t="s">
        <v>12</v>
      </c>
      <c r="F11" s="4" t="s">
        <v>13</v>
      </c>
      <c r="G11" s="4"/>
    </row>
    <row r="12" customFormat="false" ht="30" hidden="false" customHeight="true" outlineLevel="0" collapsed="false">
      <c r="A12" s="5" t="n">
        <v>8</v>
      </c>
      <c r="B12" s="5" t="s">
        <v>26</v>
      </c>
      <c r="C12" s="5" t="s">
        <v>29</v>
      </c>
      <c r="D12" s="5" t="s">
        <v>30</v>
      </c>
      <c r="E12" s="5" t="s">
        <v>12</v>
      </c>
      <c r="F12" s="5" t="s">
        <v>13</v>
      </c>
      <c r="G12" s="5"/>
    </row>
    <row r="13" customFormat="false" ht="30" hidden="false" customHeight="true" outlineLevel="0" collapsed="false">
      <c r="A13" s="4" t="n">
        <v>9</v>
      </c>
      <c r="B13" s="4" t="s">
        <v>31</v>
      </c>
      <c r="C13" s="4" t="s">
        <v>32</v>
      </c>
      <c r="D13" s="4" t="s">
        <v>11</v>
      </c>
      <c r="E13" s="4" t="s">
        <v>12</v>
      </c>
      <c r="F13" s="4" t="s">
        <v>13</v>
      </c>
      <c r="G13" s="4"/>
    </row>
    <row r="14" customFormat="false" ht="30" hidden="false" customHeight="true" outlineLevel="0" collapsed="false">
      <c r="A14" s="5" t="n">
        <v>10</v>
      </c>
      <c r="B14" s="5" t="s">
        <v>31</v>
      </c>
      <c r="C14" s="5" t="s">
        <v>33</v>
      </c>
      <c r="D14" s="5" t="s">
        <v>34</v>
      </c>
      <c r="E14" s="5" t="s">
        <v>12</v>
      </c>
      <c r="F14" s="5" t="s">
        <v>20</v>
      </c>
      <c r="G14" s="5"/>
    </row>
    <row r="15" customFormat="false" ht="30" hidden="false" customHeight="true" outlineLevel="0" collapsed="false">
      <c r="A15" s="4" t="n">
        <v>11</v>
      </c>
      <c r="B15" s="4" t="s">
        <v>31</v>
      </c>
      <c r="C15" s="4" t="s">
        <v>35</v>
      </c>
      <c r="D15" s="4" t="s">
        <v>11</v>
      </c>
      <c r="E15" s="4" t="s">
        <v>12</v>
      </c>
      <c r="F15" s="4" t="s">
        <v>20</v>
      </c>
      <c r="G15" s="4"/>
    </row>
    <row r="16" customFormat="false" ht="30" hidden="false" customHeight="true" outlineLevel="0" collapsed="false">
      <c r="A16" s="5" t="n">
        <v>12</v>
      </c>
      <c r="B16" s="5" t="s">
        <v>36</v>
      </c>
      <c r="C16" s="5" t="s">
        <v>37</v>
      </c>
      <c r="D16" s="5" t="s">
        <v>11</v>
      </c>
      <c r="E16" s="5" t="s">
        <v>12</v>
      </c>
      <c r="F16" s="5" t="s">
        <v>13</v>
      </c>
      <c r="G16" s="5"/>
    </row>
    <row r="17" customFormat="false" ht="30" hidden="false" customHeight="true" outlineLevel="0" collapsed="false">
      <c r="A17" s="4" t="n">
        <v>13</v>
      </c>
      <c r="B17" s="4" t="s">
        <v>36</v>
      </c>
      <c r="C17" s="4" t="s">
        <v>38</v>
      </c>
      <c r="D17" s="4" t="s">
        <v>39</v>
      </c>
      <c r="E17" s="4" t="s">
        <v>12</v>
      </c>
      <c r="F17" s="4" t="s">
        <v>13</v>
      </c>
      <c r="G17" s="4"/>
    </row>
    <row r="18" customFormat="false" ht="30" hidden="false" customHeight="true" outlineLevel="0" collapsed="false">
      <c r="A18" s="5" t="n">
        <v>14</v>
      </c>
      <c r="B18" s="5" t="s">
        <v>40</v>
      </c>
      <c r="C18" s="5" t="s">
        <v>41</v>
      </c>
      <c r="D18" s="5" t="s">
        <v>39</v>
      </c>
      <c r="E18" s="5" t="s">
        <v>12</v>
      </c>
      <c r="F18" s="5" t="s">
        <v>13</v>
      </c>
      <c r="G18" s="5"/>
    </row>
    <row r="19" customFormat="false" ht="30" hidden="false" customHeight="true" outlineLevel="0" collapsed="false">
      <c r="A19" s="4" t="n">
        <v>15</v>
      </c>
      <c r="B19" s="4" t="s">
        <v>40</v>
      </c>
      <c r="C19" s="4" t="s">
        <v>42</v>
      </c>
      <c r="D19" s="4" t="s">
        <v>43</v>
      </c>
      <c r="E19" s="4" t="s">
        <v>12</v>
      </c>
      <c r="F19" s="4" t="s">
        <v>13</v>
      </c>
      <c r="G19" s="4"/>
    </row>
    <row r="20" customFormat="false" ht="30" hidden="false" customHeight="true" outlineLevel="0" collapsed="false">
      <c r="A20" s="5" t="n">
        <v>16</v>
      </c>
      <c r="B20" s="5" t="s">
        <v>44</v>
      </c>
      <c r="C20" s="5" t="s">
        <v>45</v>
      </c>
      <c r="D20" s="5" t="s">
        <v>39</v>
      </c>
      <c r="E20" s="5" t="s">
        <v>12</v>
      </c>
      <c r="F20" s="5" t="s">
        <v>13</v>
      </c>
      <c r="G20" s="5"/>
    </row>
    <row r="21" customFormat="false" ht="30" hidden="false" customHeight="true" outlineLevel="0" collapsed="false">
      <c r="A21" s="4" t="n">
        <v>17</v>
      </c>
      <c r="B21" s="4" t="s">
        <v>44</v>
      </c>
      <c r="C21" s="4" t="s">
        <v>46</v>
      </c>
      <c r="D21" s="4" t="s">
        <v>39</v>
      </c>
      <c r="E21" s="4" t="s">
        <v>12</v>
      </c>
      <c r="F21" s="4" t="s">
        <v>13</v>
      </c>
      <c r="G21" s="4"/>
    </row>
    <row r="22" customFormat="false" ht="30" hidden="false" customHeight="true" outlineLevel="0" collapsed="false">
      <c r="A22" s="5" t="n">
        <v>18</v>
      </c>
      <c r="B22" s="5" t="s">
        <v>47</v>
      </c>
      <c r="C22" s="5" t="s">
        <v>48</v>
      </c>
      <c r="D22" s="5" t="s">
        <v>49</v>
      </c>
      <c r="E22" s="5" t="s">
        <v>12</v>
      </c>
      <c r="F22" s="5" t="s">
        <v>13</v>
      </c>
      <c r="G22" s="5"/>
    </row>
    <row r="23" customFormat="false" ht="30" hidden="false" customHeight="true" outlineLevel="0" collapsed="false">
      <c r="A23" s="4" t="n">
        <v>19</v>
      </c>
      <c r="B23" s="4" t="s">
        <v>47</v>
      </c>
      <c r="C23" s="4" t="s">
        <v>50</v>
      </c>
      <c r="D23" s="4" t="s">
        <v>51</v>
      </c>
      <c r="E23" s="4" t="s">
        <v>12</v>
      </c>
      <c r="F23" s="4" t="s">
        <v>13</v>
      </c>
      <c r="G23" s="4"/>
    </row>
    <row r="25" customFormat="false" ht="15" hidden="false" customHeight="false" outlineLevel="0" collapsed="false">
      <c r="A25" s="6" t="s">
        <v>52</v>
      </c>
    </row>
    <row r="26" customFormat="false" ht="15" hidden="false" customHeight="false" outlineLevel="0" collapsed="false">
      <c r="A26" s="7" t="s">
        <v>53</v>
      </c>
      <c r="B26" s="8" t="n">
        <f aca="false">COUNTA(C5:C23)</f>
        <v>19</v>
      </c>
    </row>
    <row r="27" customFormat="false" ht="15" hidden="false" customHeight="false" outlineLevel="0" collapsed="false">
      <c r="A27" s="7" t="s">
        <v>54</v>
      </c>
      <c r="B27" s="8" t="n">
        <f aca="false">COUNTIF(E5:E23,"Met")</f>
        <v>0</v>
      </c>
    </row>
    <row r="28" customFormat="false" ht="15" hidden="false" customHeight="false" outlineLevel="0" collapsed="false">
      <c r="A28" s="7" t="s">
        <v>55</v>
      </c>
      <c r="B28" s="8" t="n">
        <f aca="false">COUNTIF(F5:F23,"Yes")</f>
        <v>16</v>
      </c>
    </row>
    <row r="29" customFormat="false" ht="15" hidden="false" customHeight="false" outlineLevel="0" collapsed="false">
      <c r="A29" s="7" t="s">
        <v>56</v>
      </c>
      <c r="B29" s="8" t="n">
        <f aca="false">COUNTIFS(F5:F23,"Yes",E5:E23,"Met")</f>
        <v>0</v>
      </c>
    </row>
    <row r="30" customFormat="false" ht="15" hidden="false" customHeight="false" outlineLevel="0" collapsed="false">
      <c r="A30" s="7" t="s">
        <v>57</v>
      </c>
      <c r="B30" s="8" t="n">
        <f aca="false">COUNTIFS(F5:F23,"Yes")-COUNTIFS(F5:F23,"Yes",E5:E23,"Met")</f>
        <v>16</v>
      </c>
    </row>
    <row r="31" customFormat="false" ht="15" hidden="false" customHeight="false" outlineLevel="0" collapsed="false">
      <c r="A31" s="8" t="s">
        <v>58</v>
      </c>
    </row>
  </sheetData>
  <conditionalFormatting sqref="E5:E23">
    <cfRule type="cellIs" priority="2" operator="equal" aboveAverage="0" equalAverage="0" bottom="0" percent="0" rank="0" text="" dxfId="0">
      <formula>"Met"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  <cfRule type="cellIs" priority="5" operator="equal" aboveAverage="0" equalAverage="0" bottom="0" percent="0" rank="0" text="" dxfId="3">
      <formula>"At Risk"</formula>
    </cfRule>
    <cfRule type="cellIs" priority="6" operator="equal" aboveAverage="0" equalAverage="0" bottom="0" percent="0" rank="0" text="" dxfId="4">
      <formula>"Not Met"</formula>
    </cfRule>
  </conditionalFormatting>
  <dataValidations count="1">
    <dataValidation allowBlank="true" errorStyle="stop" operator="between" showDropDown="false" showErrorMessage="false" showInputMessage="false" sqref="E5:E23" type="list">
      <formula1>"Not Started,In Progress,Met,At Risk,Not Met"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2026-06-10T03:09:27Z</dcterms:created>
  <dc:creator>openpyxl</dc:creator>
  <dc:description/>
  <dc:language>en-US</dc:language>
  <cp:lastModifiedBy/>
  <dcterms:modified xsi:type="dcterms:W3CDTF">2026-06-10T03:09:27Z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