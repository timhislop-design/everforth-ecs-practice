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ge Log" sheetId="1" state="visible" r:id="rId3"/>
    <sheet name="RAI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<sst xmlns="http://schemas.openxmlformats.org/spreadsheetml/2006/main" count="68" uniqueCount="60">
  <si>
    <t xml:space="preserve">CONNECTION - GOVERNANCE TRIAGE LOG</t>
  </si>
  <si>
    <t xml:space="preserve">System of record for every deviation request - visible to both teams. Council-approved + built customizations add to variance (cap 5). Rejected do not. Log within 24 hrs of decision.</t>
  </si>
  <si>
    <t xml:space="preserve">Req ID</t>
  </si>
  <si>
    <t xml:space="preserve">Sprint Raised</t>
  </si>
  <si>
    <t xml:space="preserve">Requester</t>
  </si>
  <si>
    <t xml:space="preserve">Description of Request</t>
  </si>
  <si>
    <t xml:space="preserve">OOTB Alternative (SA Analysis)</t>
  </si>
  <si>
    <t xml:space="preserve">Classification</t>
  </si>
  <si>
    <t xml:space="preserve">Rule of 3 Result</t>
  </si>
  <si>
    <t xml:space="preserve">Council Decision</t>
  </si>
  <si>
    <t xml:space="preserve">Decision Date</t>
  </si>
  <si>
    <t xml:space="preserve">Two-Key (Sponsor / Practice)</t>
  </si>
  <si>
    <t xml:space="preserve">PCR?</t>
  </si>
  <si>
    <t xml:space="preserve">Effort (hrs)</t>
  </si>
  <si>
    <t xml:space="preserve">Notes</t>
  </si>
  <si>
    <t xml:space="preserve">CVT-001</t>
  </si>
  <si>
    <t xml:space="preserve">CVT-002</t>
  </si>
  <si>
    <t xml:space="preserve">CVT-003</t>
  </si>
  <si>
    <t xml:space="preserve">CVT-004</t>
  </si>
  <si>
    <t xml:space="preserve">CVT-005</t>
  </si>
  <si>
    <t xml:space="preserve">CVT-006</t>
  </si>
  <si>
    <t xml:space="preserve">CVT-007</t>
  </si>
  <si>
    <t xml:space="preserve">CVT-008</t>
  </si>
  <si>
    <t xml:space="preserve">CVT-009</t>
  </si>
  <si>
    <t xml:space="preserve">CVT-010</t>
  </si>
  <si>
    <t xml:space="preserve">CVT-011</t>
  </si>
  <si>
    <t xml:space="preserve">CVT-012</t>
  </si>
  <si>
    <t xml:space="preserve">SUMMARY</t>
  </si>
  <si>
    <t xml:space="preserve">Approved customizations (cap 5)</t>
  </si>
  <si>
    <t xml:space="preserve">Remaining before PCR conversation</t>
  </si>
  <si>
    <t xml:space="preserve">Open (In Triage)</t>
  </si>
  <si>
    <t xml:space="preserve">Rejected</t>
  </si>
  <si>
    <t xml:space="preserve">PCRs triggered</t>
  </si>
  <si>
    <t xml:space="preserve">CONNECTION - RAID LOG</t>
  </si>
  <si>
    <t xml:space="preserve">Risks, Assumptions, Issues, Dependencies. Reviewed weekly; material items surface in the Weekly Status Report and Executive Health Dashboard.</t>
  </si>
  <si>
    <t xml:space="preserve">Type</t>
  </si>
  <si>
    <t xml:space="preserve">ID</t>
  </si>
  <si>
    <t xml:space="preserve">Description</t>
  </si>
  <si>
    <t xml:space="preserve">Impact</t>
  </si>
  <si>
    <t xml:space="preserve">Likelihood</t>
  </si>
  <si>
    <t xml:space="preserve">Owner</t>
  </si>
  <si>
    <t xml:space="preserve">Status</t>
  </si>
  <si>
    <t xml:space="preserve">Due</t>
  </si>
  <si>
    <t xml:space="preserve">Mitigation / Action</t>
  </si>
  <si>
    <t xml:space="preserve">Risk</t>
  </si>
  <si>
    <t xml:space="preserve">R-01</t>
  </si>
  <si>
    <t xml:space="preserve">R-02</t>
  </si>
  <si>
    <t xml:space="preserve">R-03</t>
  </si>
  <si>
    <t xml:space="preserve">Assumption</t>
  </si>
  <si>
    <t xml:space="preserve">A-01</t>
  </si>
  <si>
    <t xml:space="preserve">A-02</t>
  </si>
  <si>
    <t xml:space="preserve">A-03</t>
  </si>
  <si>
    <t xml:space="preserve">Issue</t>
  </si>
  <si>
    <t xml:space="preserve">I-01</t>
  </si>
  <si>
    <t xml:space="preserve">I-02</t>
  </si>
  <si>
    <t xml:space="preserve">I-03</t>
  </si>
  <si>
    <t xml:space="preserve">Dependency</t>
  </si>
  <si>
    <t xml:space="preserve">D-01</t>
  </si>
  <si>
    <t xml:space="preserve">D-02</t>
  </si>
  <si>
    <t xml:space="preserve">D-03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</si>
</sst>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9C3"/>
        </patternFill>
      </fill>
    </dxf>
    <dxf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5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4" t="s">
        <v>17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5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4" t="s">
        <v>19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5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5" t="s">
        <v>22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4" t="s">
        <v>23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5" t="s">
        <v>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4" t="s">
        <v>25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5" t="s">
        <v>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8" customFormat="false" ht="15" hidden="false" customHeight="false" outlineLevel="0" collapsed="false">
      <c r="A18" s="6" t="s">
        <v>27</v>
      </c>
    </row>
    <row r="19" customFormat="false" ht="15" hidden="false" customHeight="false" outlineLevel="0" collapsed="false">
      <c r="A19" s="7" t="s">
        <v>28</v>
      </c>
      <c r="B19" s="8" t="n">
        <f aca="false">COUNTIFS(F5:F16,"Customization",H5:H16,"Approved")</f>
        <v>0</v>
      </c>
    </row>
    <row r="20" customFormat="false" ht="15" hidden="false" customHeight="false" outlineLevel="0" collapsed="false">
      <c r="A20" s="7" t="s">
        <v>29</v>
      </c>
      <c r="B20" s="8" t="n">
        <f aca="false">5-COUNTIFS(F5:F16,"Customization",H5:H16,"Approved")</f>
        <v>5</v>
      </c>
    </row>
    <row r="21" customFormat="false" ht="15" hidden="false" customHeight="false" outlineLevel="0" collapsed="false">
      <c r="A21" s="7" t="s">
        <v>30</v>
      </c>
      <c r="B21" s="8" t="n">
        <f aca="false">COUNTIF(H5:H16,"In Triage")</f>
        <v>0</v>
      </c>
    </row>
    <row r="22" customFormat="false" ht="15" hidden="false" customHeight="false" outlineLevel="0" collapsed="false">
      <c r="A22" s="7" t="s">
        <v>31</v>
      </c>
      <c r="B22" s="8" t="n">
        <f aca="false">COUNTIF(H5:H16,"Rejected")</f>
        <v>0</v>
      </c>
    </row>
    <row r="23" customFormat="false" ht="15" hidden="false" customHeight="false" outlineLevel="0" collapsed="false">
      <c r="A23" s="7" t="s">
        <v>32</v>
      </c>
      <c r="B23" s="8" t="n">
        <f aca="false">COUNTIF(K5:K16,"Yes")</f>
        <v>0</v>
      </c>
    </row>
  </sheetData>
  <conditionalFormatting sqref="H5:H16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"Rejected"</formula>
    </cfRule>
    <cfRule type="cellIs" priority="4" operator="equal" aboveAverage="0" equalAverage="0" bottom="0" percent="0" rank="0" text="" dxfId="2">
      <formula>"Deferred"</formula>
    </cfRule>
    <cfRule type="cellIs" priority="5" operator="equal" aboveAverage="0" equalAverage="0" bottom="0" percent="0" rank="0" text="" dxfId="3">
      <formula>"In Triage"</formula>
    </cfRule>
  </conditionalFormatting>
  <dataValidations count="4">
    <dataValidation allowBlank="true" errorStyle="stop" operator="between" showDropDown="false" showErrorMessage="false" showInputMessage="false" sqref="F5:F16" type="list">
      <formula1>"Config (within OOTB),Customization,PCR"</formula1>
      <formula2>0</formula2>
    </dataValidation>
    <dataValidation allowBlank="true" errorStyle="stop" operator="between" showDropDown="false" showErrorMessage="false" showInputMessage="false" sqref="G5:G16" type="list">
      <formula1>"Pass - OOTB,Fail - Customization"</formula1>
      <formula2>0</formula2>
    </dataValidation>
    <dataValidation allowBlank="true" errorStyle="stop" operator="between" showDropDown="false" showErrorMessage="false" showInputMessage="false" sqref="H5:H16" type="list">
      <formula1>"Approved,Rejected,Deferred,In Triage"</formula1>
      <formula2>0</formula2>
    </dataValidation>
    <dataValidation allowBlank="true" errorStyle="stop" operator="between" showDropDown="false" showErrorMessage="false" showInputMessage="false" sqref="K5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s">
        <v>44</v>
      </c>
      <c r="B6" s="5" t="s">
        <v>46</v>
      </c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4" t="s">
        <v>44</v>
      </c>
      <c r="B7" s="4" t="s">
        <v>47</v>
      </c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5" t="s">
        <v>48</v>
      </c>
      <c r="B8" s="5" t="s">
        <v>49</v>
      </c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4" t="s">
        <v>48</v>
      </c>
      <c r="B9" s="4" t="s">
        <v>50</v>
      </c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5" t="s">
        <v>48</v>
      </c>
      <c r="B10" s="5" t="s">
        <v>51</v>
      </c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4" t="s">
        <v>52</v>
      </c>
      <c r="B11" s="4" t="s">
        <v>53</v>
      </c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 t="s">
        <v>52</v>
      </c>
      <c r="B12" s="5" t="s">
        <v>54</v>
      </c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4" t="s">
        <v>52</v>
      </c>
      <c r="B13" s="4" t="s">
        <v>55</v>
      </c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5" t="s">
        <v>56</v>
      </c>
      <c r="B14" s="5" t="s">
        <v>57</v>
      </c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4" t="s">
        <v>56</v>
      </c>
      <c r="B15" s="4" t="s">
        <v>58</v>
      </c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5" t="s">
        <v>56</v>
      </c>
      <c r="B16" s="5" t="s">
        <v>59</v>
      </c>
      <c r="C16" s="5"/>
      <c r="D16" s="5"/>
      <c r="E16" s="5"/>
      <c r="F16" s="5"/>
      <c r="G16" s="5"/>
      <c r="H16" s="5"/>
      <c r="I16" s="5"/>
    </row>
  </sheetData>
  <conditionalFormatting sqref="G5:G16">
    <cfRule type="cellIs" priority="2" operator="equal" aboveAverage="0" equalAverage="0" bottom="0" percent="0" rank="0" text="" dxfId="0">
      <formula>"Closed"</formula>
    </cfRule>
    <cfRule type="cellIs" priority="3" operator="equal" aboveAverage="0" equalAverage="0" bottom="0" percent="0" rank="0" text="" dxfId="0">
      <formula>"Mitigated"</formula>
    </cfRule>
    <cfRule type="cellIs" priority="4" operator="equal" aboveAverage="0" equalAverage="0" bottom="0" percent="0" rank="0" text="" dxfId="3">
      <formula>"In Progress"</formula>
    </cfRule>
    <cfRule type="cellIs" priority="5" operator="equal" aboveAverage="0" equalAverage="0" bottom="0" percent="0" rank="0" text="" dxfId="1">
      <formula>"Blocked"</formula>
    </cfRule>
    <cfRule type="cellIs" priority="6" operator="equal" aboveAverage="0" equalAverage="0" bottom="0" percent="0" rank="0" text="" dxfId="2">
      <formula>"Open"</formula>
    </cfRule>
  </conditionalFormatting>
  <dataValidations count="4">
    <dataValidation allowBlank="true" errorStyle="stop" operator="between" showDropDown="false" showErrorMessage="false" showInputMessage="false" sqref="A5:A16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D5:D16" type="list">
      <formula1>"High,Medium,Low"</formula1>
      <formula2>0</formula2>
    </dataValidation>
    <dataValidation allowBlank="true" errorStyle="stop" operator="between" showDropDown="false" showErrorMessage="false" showInputMessage="false" sqref="E5:E16" type="list">
      <formula1>"High,Medium,Low"</formula1>
      <formula2>0</formula2>
    </dataValidation>
    <dataValidation allowBlank="true" errorStyle="stop" operator="between" showDropDown="false" showErrorMessage="false" showInputMessage="false" sqref="G5:G16" type="list">
      <formula1>"Open,In Progress,Mitigated,Closed,Blocked"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2026-06-09T18:31:28Z</dcterms:created>
  <dc:creator>openpyxl</dc:creator>
  <dc:description/>
  <dc:language>en-US</dc:language>
  <cp:lastModifiedBy/>
  <dcterms:modified xsi:type="dcterms:W3CDTF">2026-06-09T18:31:28Z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