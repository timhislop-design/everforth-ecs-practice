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B1F3A"/>
      <sz val="14"/>
    </font>
    <font>
      <name val="Calibri"/>
      <i val="1"/>
      <color rgb="00475569"/>
      <sz val="9"/>
    </font>
    <font>
      <name val="Calibri"/>
      <b val="1"/>
      <color rgb="00FFFFFF"/>
      <sz val="11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b val="1"/>
      <color rgb="000B1F3A"/>
      <sz val="10"/>
    </font>
    <font>
      <name val="Calibri"/>
      <color rgb="000000FF"/>
      <sz val="10"/>
    </font>
    <font>
      <name val="Calibri"/>
      <color rgb="00475569"/>
      <sz val="10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6" customWidth="1" min="4" max="4"/>
    <col width="16" customWidth="1" min="5" max="5"/>
    <col width="14" customWidth="1" min="6" max="6"/>
    <col width="16" customWidth="1" min="7" max="7"/>
    <col width="10" customWidth="1" min="8" max="8"/>
  </cols>
  <sheetData>
    <row r="1">
      <c r="A1" s="1" t="inlineStr">
        <is>
          <t>CONNECTION - SPRINT PLAN &amp; CAPACITY MODEL</t>
        </is>
      </c>
    </row>
    <row r="2">
      <c r="A2" s="2" t="inlineStr">
        <is>
          <t>Load = story points planned per sprint (config + delivery backlog). Set Capacity (pts) per sprint from team velocity; the model flags over-loaded sprints. Adjust scope/sequence before a sprint goes red.</t>
        </is>
      </c>
    </row>
    <row r="4" ht="28" customHeight="1">
      <c r="A4" s="3" t="inlineStr">
        <is>
          <t>Sprint</t>
        </is>
      </c>
      <c r="B4" s="3" t="inlineStr">
        <is>
          <t>Stage</t>
        </is>
      </c>
      <c r="C4" s="3" t="inlineStr">
        <is>
          <t>Config Load (pts)</t>
        </is>
      </c>
      <c r="D4" s="3" t="inlineStr">
        <is>
          <t>Delivery Load (pts)</t>
        </is>
      </c>
      <c r="E4" s="3" t="inlineStr">
        <is>
          <t>Total Load (pts)</t>
        </is>
      </c>
      <c r="F4" s="3" t="inlineStr">
        <is>
          <t>Capacity (pts)</t>
        </is>
      </c>
      <c r="G4" s="3" t="inlineStr">
        <is>
          <t>Load vs Capacity</t>
        </is>
      </c>
      <c r="H4" s="3" t="inlineStr">
        <is>
          <t>Status</t>
        </is>
      </c>
    </row>
    <row r="5">
      <c r="A5" s="4" t="inlineStr">
        <is>
          <t>Sprint 0</t>
        </is>
      </c>
      <c r="B5" s="5" t="inlineStr">
        <is>
          <t>Stage 1</t>
        </is>
      </c>
      <c r="C5" s="5" t="n">
        <v>0</v>
      </c>
      <c r="D5" s="5" t="n">
        <v>24</v>
      </c>
      <c r="E5" s="6">
        <f>C5+D5</f>
        <v/>
      </c>
      <c r="F5" s="7" t="n">
        <v>15</v>
      </c>
      <c r="G5" s="8">
        <f>IF(F5=0,"-",E5/F5)</f>
        <v/>
      </c>
      <c r="H5" s="4">
        <f>IF(F5=0,"n/a",IF(E5&gt;F5,"OVER",IF(E5&gt;0.85*F5,"TIGHT","OK")))</f>
        <v/>
      </c>
    </row>
    <row r="6">
      <c r="A6" s="9" t="inlineStr">
        <is>
          <t>Sprint 1</t>
        </is>
      </c>
      <c r="B6" s="10" t="inlineStr">
        <is>
          <t>Stage 1</t>
        </is>
      </c>
      <c r="C6" s="10" t="n">
        <v>53</v>
      </c>
      <c r="D6" s="10" t="n">
        <v>4</v>
      </c>
      <c r="E6" s="11">
        <f>C6+D6</f>
        <v/>
      </c>
      <c r="F6" s="12" t="n">
        <v>30</v>
      </c>
      <c r="G6" s="13">
        <f>IF(F6=0,"-",E6/F6)</f>
        <v/>
      </c>
      <c r="H6" s="9">
        <f>IF(F6=0,"n/a",IF(E6&gt;F6,"OVER",IF(E6&gt;0.85*F6,"TIGHT","OK")))</f>
        <v/>
      </c>
    </row>
    <row r="7">
      <c r="A7" s="4" t="inlineStr">
        <is>
          <t>Sprint 2</t>
        </is>
      </c>
      <c r="B7" s="5" t="inlineStr">
        <is>
          <t>Stage 1</t>
        </is>
      </c>
      <c r="C7" s="5" t="n">
        <v>42</v>
      </c>
      <c r="D7" s="5" t="n">
        <v>10</v>
      </c>
      <c r="E7" s="6">
        <f>C7+D7</f>
        <v/>
      </c>
      <c r="F7" s="7" t="n">
        <v>30</v>
      </c>
      <c r="G7" s="8">
        <f>IF(F7=0,"-",E7/F7)</f>
        <v/>
      </c>
      <c r="H7" s="4">
        <f>IF(F7=0,"n/a",IF(E7&gt;F7,"OVER",IF(E7&gt;0.85*F7,"TIGHT","OK")))</f>
        <v/>
      </c>
    </row>
    <row r="8">
      <c r="A8" s="9" t="inlineStr">
        <is>
          <t>Sprint 3</t>
        </is>
      </c>
      <c r="B8" s="10" t="inlineStr">
        <is>
          <t>Stage 2</t>
        </is>
      </c>
      <c r="C8" s="10" t="n">
        <v>78</v>
      </c>
      <c r="D8" s="10" t="n">
        <v>4</v>
      </c>
      <c r="E8" s="11">
        <f>C8+D8</f>
        <v/>
      </c>
      <c r="F8" s="12" t="n">
        <v>30</v>
      </c>
      <c r="G8" s="13">
        <f>IF(F8=0,"-",E8/F8)</f>
        <v/>
      </c>
      <c r="H8" s="9">
        <f>IF(F8=0,"n/a",IF(E8&gt;F8,"OVER",IF(E8&gt;0.85*F8,"TIGHT","OK")))</f>
        <v/>
      </c>
    </row>
    <row r="9">
      <c r="A9" s="4" t="inlineStr">
        <is>
          <t>Sprint 4</t>
        </is>
      </c>
      <c r="B9" s="5" t="inlineStr">
        <is>
          <t>Stage 2</t>
        </is>
      </c>
      <c r="C9" s="5" t="n">
        <v>81</v>
      </c>
      <c r="D9" s="5" t="n">
        <v>9</v>
      </c>
      <c r="E9" s="6">
        <f>C9+D9</f>
        <v/>
      </c>
      <c r="F9" s="7" t="n">
        <v>30</v>
      </c>
      <c r="G9" s="8">
        <f>IF(F9=0,"-",E9/F9)</f>
        <v/>
      </c>
      <c r="H9" s="4">
        <f>IF(F9=0,"n/a",IF(E9&gt;F9,"OVER",IF(E9&gt;0.85*F9,"TIGHT","OK")))</f>
        <v/>
      </c>
    </row>
    <row r="10">
      <c r="A10" s="9" t="inlineStr">
        <is>
          <t>Sprint 5</t>
        </is>
      </c>
      <c r="B10" s="10" t="inlineStr">
        <is>
          <t>Stage 2</t>
        </is>
      </c>
      <c r="C10" s="10" t="n">
        <v>68</v>
      </c>
      <c r="D10" s="10" t="n">
        <v>6</v>
      </c>
      <c r="E10" s="11">
        <f>C10+D10</f>
        <v/>
      </c>
      <c r="F10" s="12" t="n">
        <v>30</v>
      </c>
      <c r="G10" s="13">
        <f>IF(F10=0,"-",E10/F10)</f>
        <v/>
      </c>
      <c r="H10" s="9">
        <f>IF(F10=0,"n/a",IF(E10&gt;F10,"OVER",IF(E10&gt;0.85*F10,"TIGHT","OK")))</f>
        <v/>
      </c>
    </row>
    <row r="11">
      <c r="A11" s="4" t="inlineStr">
        <is>
          <t>Sprint 6</t>
        </is>
      </c>
      <c r="B11" s="5" t="inlineStr">
        <is>
          <t>Stage 3</t>
        </is>
      </c>
      <c r="C11" s="5" t="n">
        <v>33</v>
      </c>
      <c r="D11" s="5" t="n">
        <v>14</v>
      </c>
      <c r="E11" s="6">
        <f>C11+D11</f>
        <v/>
      </c>
      <c r="F11" s="7" t="n">
        <v>30</v>
      </c>
      <c r="G11" s="8">
        <f>IF(F11=0,"-",E11/F11)</f>
        <v/>
      </c>
      <c r="H11" s="4">
        <f>IF(F11=0,"n/a",IF(E11&gt;F11,"OVER",IF(E11&gt;0.85*F11,"TIGHT","OK")))</f>
        <v/>
      </c>
    </row>
    <row r="12">
      <c r="A12" s="9" t="inlineStr">
        <is>
          <t>Sprint 7</t>
        </is>
      </c>
      <c r="B12" s="10" t="inlineStr">
        <is>
          <t>Stage 3</t>
        </is>
      </c>
      <c r="C12" s="10" t="n">
        <v>0</v>
      </c>
      <c r="D12" s="10" t="n">
        <v>26</v>
      </c>
      <c r="E12" s="11">
        <f>C12+D12</f>
        <v/>
      </c>
      <c r="F12" s="12" t="n">
        <v>30</v>
      </c>
      <c r="G12" s="13">
        <f>IF(F12=0,"-",E12/F12)</f>
        <v/>
      </c>
      <c r="H12" s="9">
        <f>IF(F12=0,"n/a",IF(E12&gt;F12,"OVER",IF(E12&gt;0.85*F12,"TIGHT","OK")))</f>
        <v/>
      </c>
    </row>
    <row r="13">
      <c r="A13" s="4" t="inlineStr">
        <is>
          <t>Sprint 8</t>
        </is>
      </c>
      <c r="B13" s="5" t="inlineStr">
        <is>
          <t>Stage 4</t>
        </is>
      </c>
      <c r="C13" s="5" t="n">
        <v>0</v>
      </c>
      <c r="D13" s="5" t="n">
        <v>11</v>
      </c>
      <c r="E13" s="6">
        <f>C13+D13</f>
        <v/>
      </c>
      <c r="F13" s="7" t="n">
        <v>15</v>
      </c>
      <c r="G13" s="8">
        <f>IF(F13=0,"-",E13/F13)</f>
        <v/>
      </c>
      <c r="H13" s="4">
        <f>IF(F13=0,"n/a",IF(E13&gt;F13,"OVER",IF(E13&gt;0.85*F13,"TIGHT","OK")))</f>
        <v/>
      </c>
    </row>
    <row r="14">
      <c r="A14" s="9" t="inlineStr">
        <is>
          <t>Ongoing / All</t>
        </is>
      </c>
      <c r="B14" s="10" t="inlineStr">
        <is>
          <t>All</t>
        </is>
      </c>
      <c r="C14" s="10" t="n">
        <v>0</v>
      </c>
      <c r="D14" s="10" t="n">
        <v>23</v>
      </c>
      <c r="E14" s="11">
        <f>C14+D14</f>
        <v/>
      </c>
      <c r="F14" s="12" t="n">
        <v>0</v>
      </c>
      <c r="G14" s="13">
        <f>IF(F14=0,"-",E14/F14)</f>
        <v/>
      </c>
      <c r="H14" s="9">
        <f>IF(F14=0,"n/a",IF(E14&gt;F14,"OVER",IF(E14&gt;0.85*F14,"TIGHT","OK")))</f>
        <v/>
      </c>
    </row>
    <row r="15">
      <c r="A15" s="14" t="inlineStr">
        <is>
          <t>TOTAL</t>
        </is>
      </c>
      <c r="C15" s="14">
        <f>SUM(C5:C14)</f>
        <v/>
      </c>
      <c r="D15" s="14">
        <f>SUM(D5:D14)</f>
        <v/>
      </c>
      <c r="E15" s="14">
        <f>SUM(E5:E14)</f>
        <v/>
      </c>
      <c r="F15" s="14">
        <f>SUM(F5:F14)</f>
        <v/>
      </c>
    </row>
    <row r="17">
      <c r="A17" s="15" t="inlineStr">
        <is>
          <t>Capacity (blue) is editable: set from team size x velocity. OVER = load exceeds capacity (rebalance); TIGHT = &gt;85%.</t>
        </is>
      </c>
    </row>
  </sheetData>
  <conditionalFormatting sqref="H5:H14">
    <cfRule type="cellIs" priority="1" operator="equal" dxfId="0">
      <formula>"OVER"</formula>
    </cfRule>
    <cfRule type="cellIs" priority="2" operator="equal" dxfId="1">
      <formula>"TIGHT"</formula>
    </cfRule>
    <cfRule type="cellIs" priority="3" operator="equal" dxfId="2">
      <formula>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2026-06-10T04:02:01Z</dcterms:created>
  <dcterms:modified xmlns:dcterms="http://purl.org/dc/terms/" xmlns:xsi="http://www.w3.org/2001/XMLSchema-instance" xsi:type="dcterms:W3CDTF">2026-06-10T04:02:01Z</dcterms:modified>
</cp:coreProperties>
</file>