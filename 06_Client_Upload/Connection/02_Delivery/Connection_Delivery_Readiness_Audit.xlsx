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Readiness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B1F3A"/>
      <sz val="14"/>
    </font>
    <font>
      <name val="Calibri"/>
      <i val="1"/>
      <color rgb="00475569"/>
      <sz val="9"/>
    </font>
    <font>
      <name val="Calibri"/>
      <b val="1"/>
      <color rgb="00FFFFFF"/>
      <sz val="11"/>
    </font>
    <font>
      <name val="Calibri"/>
      <color rgb="001A1A1A"/>
      <sz val="10"/>
    </font>
    <font>
      <name val="Calibri"/>
      <b val="1"/>
      <color rgb="000B1F3A"/>
      <sz val="11"/>
    </font>
    <font>
      <name val="Calibri"/>
      <color rgb="00475569"/>
      <sz val="10"/>
    </font>
    <font>
      <name val="Calibri"/>
      <b val="1"/>
      <color rgb="000B1F3A"/>
      <sz val="10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CFCE7"/>
        </patternFill>
      </fill>
    </dxf>
    <dxf>
      <fill>
        <patternFill patternType="solid">
          <fgColor rgb="00FEF9C3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0" customWidth="1" min="3" max="3"/>
    <col width="30" customWidth="1" min="4" max="4"/>
    <col width="9" customWidth="1" min="5" max="5"/>
    <col width="34" customWidth="1" min="6" max="6"/>
    <col width="40" customWidth="1" min="7" max="7"/>
    <col width="40" customWidth="1" min="8" max="8"/>
    <col width="34" customWidth="1" min="9" max="9"/>
    <col width="9" customWidth="1" min="10" max="10"/>
  </cols>
  <sheetData>
    <row r="1">
      <c r="A1" s="1" t="inlineStr">
        <is>
          <t>CONNECTION - DELIVERY READINESS AUDIT (start to finish; ECS + customer lenses)</t>
        </is>
      </c>
    </row>
    <row r="2">
      <c r="A2" s="2" t="inlineStr">
        <is>
          <t>Audited against SOW v2.0 across the full lifecycle. Status: Have | Partial | Gap. Priority: P1 (close before/at the relevant phase) | P2 | P3. The biggest delivery risk is customer dependencies (SOW Sec 6).</t>
        </is>
      </c>
    </row>
    <row r="4">
      <c r="A4" s="3" t="inlineStr">
        <is>
          <t>#</t>
        </is>
      </c>
      <c r="B4" s="3" t="inlineStr">
        <is>
          <t>Phase</t>
        </is>
      </c>
      <c r="C4" s="3" t="inlineStr">
        <is>
          <t>Lens</t>
        </is>
      </c>
      <c r="D4" s="3" t="inlineStr">
        <is>
          <t>Capability / Artifact</t>
        </is>
      </c>
      <c r="E4" s="3" t="inlineStr">
        <is>
          <t>Status</t>
        </is>
      </c>
      <c r="F4" s="3" t="inlineStr">
        <is>
          <t>What exists today</t>
        </is>
      </c>
      <c r="G4" s="3" t="inlineStr">
        <is>
          <t>Gap / what's missing</t>
        </is>
      </c>
      <c r="H4" s="3" t="inlineStr">
        <is>
          <t>Delivery risk if unaddressed</t>
        </is>
      </c>
      <c r="I4" s="3" t="inlineStr">
        <is>
          <t>Recommendation</t>
        </is>
      </c>
      <c r="J4" s="3" t="inlineStr">
        <is>
          <t>Priority</t>
        </is>
      </c>
    </row>
    <row r="5" ht="40" customHeight="1">
      <c r="A5" s="4" t="n">
        <v>1</v>
      </c>
      <c r="B5" s="4" t="inlineStr">
        <is>
          <t>Setup / Sprint 0</t>
        </is>
      </c>
      <c r="C5" s="4" t="inlineStr">
        <is>
          <t>Both</t>
        </is>
      </c>
      <c r="D5" s="4" t="inlineStr">
        <is>
          <t>Team &amp; client onboarding</t>
        </is>
      </c>
      <c r="E5" s="4" t="inlineStr">
        <is>
          <t>Have</t>
        </is>
      </c>
      <c r="F5" s="4" t="inlineStr">
        <is>
          <t>Onboarding guides, vision, role quick-ref, kickoff deck, checklist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Maintain</t>
        </is>
      </c>
      <c r="J5" s="4" t="inlineStr">
        <is>
          <t>P3</t>
        </is>
      </c>
    </row>
    <row r="6" ht="40" customHeight="1">
      <c r="A6" s="5" t="n">
        <v>2</v>
      </c>
      <c r="B6" s="5" t="inlineStr">
        <is>
          <t>Setup / Sprint 0</t>
        </is>
      </c>
      <c r="C6" s="5" t="inlineStr">
        <is>
          <t>Both</t>
        </is>
      </c>
      <c r="D6" s="5" t="inlineStr">
        <is>
          <t>Governance operating model</t>
        </is>
      </c>
      <c r="E6" s="5" t="inlineStr">
        <is>
          <t>Have</t>
        </is>
      </c>
      <c r="F6" s="5" t="inlineStr">
        <is>
          <t>Governance Charter, Delivery Guidelines, Triage/RAID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Maintain</t>
        </is>
      </c>
      <c r="J6" s="5" t="inlineStr">
        <is>
          <t>P3</t>
        </is>
      </c>
    </row>
    <row r="7" ht="40" customHeight="1">
      <c r="A7" s="4" t="n">
        <v>3</v>
      </c>
      <c r="B7" s="4" t="inlineStr">
        <is>
          <t>Setup / Sprint 0</t>
        </is>
      </c>
      <c r="C7" s="4" t="inlineStr">
        <is>
          <t>ECS</t>
        </is>
      </c>
      <c r="D7" s="4" t="inlineStr">
        <is>
          <t>Project plan &amp; schedule</t>
        </is>
      </c>
      <c r="E7" s="4" t="inlineStr">
        <is>
          <t>Have</t>
        </is>
      </c>
      <c r="F7" s="4" t="inlineStr">
        <is>
          <t>18-week plan (Sprints 0-8); resource buildup tab</t>
        </is>
      </c>
      <c r="G7" s="4" t="inlineStr">
        <is>
          <t>Start date (B3) not set</t>
        </is>
      </c>
      <c r="H7" s="4" t="inlineStr">
        <is>
          <t>Dates won't flow until set</t>
        </is>
      </c>
      <c r="I7" s="4" t="inlineStr">
        <is>
          <t>Set start date at kickoff</t>
        </is>
      </c>
      <c r="J7" s="4" t="inlineStr">
        <is>
          <t>P3</t>
        </is>
      </c>
    </row>
    <row r="8" ht="40" customHeight="1">
      <c r="A8" s="5" t="n">
        <v>4</v>
      </c>
      <c r="B8" s="5" t="inlineStr">
        <is>
          <t>Setup / Sprint 0</t>
        </is>
      </c>
      <c r="C8" s="5" t="inlineStr">
        <is>
          <t>Customer</t>
        </is>
      </c>
      <c r="D8" s="5" t="inlineStr">
        <is>
          <t>Customer Responsibilities &amp; Dependency Tracker (full engagement)</t>
        </is>
      </c>
      <c r="E8" s="5" t="inlineStr">
        <is>
          <t>Have</t>
        </is>
      </c>
      <c r="F8" s="5" t="inlineStr">
        <is>
          <t>Connection_Customer_Dependency_Tracker.xlsx (all SOW Sec 6 deps, owner/due/status/impact)</t>
        </is>
      </c>
      <c r="G8" s="5" t="inlineStr">
        <is>
          <t>-</t>
        </is>
      </c>
      <c r="H8" s="5" t="inlineStr">
        <is>
          <t>-</t>
        </is>
      </c>
      <c r="I8" s="5" t="inlineStr">
        <is>
          <t>Maintain weekly; flag at-risk early</t>
        </is>
      </c>
      <c r="J8" s="5" t="inlineStr">
        <is>
          <t>P1</t>
        </is>
      </c>
    </row>
    <row r="9" ht="40" customHeight="1">
      <c r="A9" s="4" t="n">
        <v>5</v>
      </c>
      <c r="B9" s="4" t="inlineStr">
        <is>
          <t>Setup / Sprint 0</t>
        </is>
      </c>
      <c r="C9" s="4" t="inlineStr">
        <is>
          <t>Both</t>
        </is>
      </c>
      <c r="D9" s="4" t="inlineStr">
        <is>
          <t>RACI matrix</t>
        </is>
      </c>
      <c r="E9" s="4" t="inlineStr">
        <is>
          <t>Partial</t>
        </is>
      </c>
      <c r="F9" s="4" t="inlineStr">
        <is>
          <t>Role &amp; Accountability Quick-Ref (RACI-style)</t>
        </is>
      </c>
      <c r="G9" s="4" t="inlineStr">
        <is>
          <t>No formal per-deliverable/per-activity RACI</t>
        </is>
      </c>
      <c r="H9" s="4" t="inlineStr">
        <is>
          <t>Ownership ambiguity on specific deliverables</t>
        </is>
      </c>
      <c r="I9" s="4" t="inlineStr">
        <is>
          <t>Derive a deliverable-level RACI cut</t>
        </is>
      </c>
      <c r="J9" s="4" t="inlineStr">
        <is>
          <t>P2</t>
        </is>
      </c>
    </row>
    <row r="10" ht="40" customHeight="1">
      <c r="A10" s="5" t="n">
        <v>6</v>
      </c>
      <c r="B10" s="5" t="inlineStr">
        <is>
          <t>Setup / Sprint 0</t>
        </is>
      </c>
      <c r="C10" s="5" t="inlineStr">
        <is>
          <t>Both</t>
        </is>
      </c>
      <c r="D10" s="5" t="inlineStr">
        <is>
          <t>Communication plan</t>
        </is>
      </c>
      <c r="E10" s="5" t="inlineStr">
        <is>
          <t>Partial</t>
        </is>
      </c>
      <c r="F10" s="5" t="inlineStr">
        <is>
          <t>Cadence defined in setup story + guidelines</t>
        </is>
      </c>
      <c r="G10" s="5" t="inlineStr">
        <is>
          <t>No standalone comms plan artifact</t>
        </is>
      </c>
      <c r="H10" s="5" t="inlineStr">
        <is>
          <t>Minor - cadence is known</t>
        </is>
      </c>
      <c r="I10" s="5" t="inlineStr">
        <is>
          <t>Optional one-pager</t>
        </is>
      </c>
      <c r="J10" s="5" t="inlineStr">
        <is>
          <t>P3</t>
        </is>
      </c>
    </row>
    <row r="11" ht="40" customHeight="1">
      <c r="A11" s="4" t="n">
        <v>7</v>
      </c>
      <c r="B11" s="4" t="inlineStr">
        <is>
          <t>Build / Sprints 1-6</t>
        </is>
      </c>
      <c r="C11" s="4" t="inlineStr">
        <is>
          <t>Customer</t>
        </is>
      </c>
      <c r="D11" s="4" t="inlineStr">
        <is>
          <t>Workshop pre-reads (per module)</t>
        </is>
      </c>
      <c r="E11" s="4" t="inlineStr">
        <is>
          <t>Gap</t>
        </is>
      </c>
      <c r="F11" s="4" t="inlineStr">
        <is>
          <t>18 workshop decks + scope notes; library WP_01-17 exist</t>
        </is>
      </c>
      <c r="G11" s="4" t="inlineStr">
        <is>
          <t>Connection-tailored client pre-reads not created</t>
        </is>
      </c>
      <c r="H11" s="4" t="inlineStr">
        <is>
          <t>Cold workshops -&gt; weak/slow decisions -&gt; rework (facilitation model assumes pre-warmed decisions)</t>
        </is>
      </c>
      <c r="I11" s="4" t="inlineStr">
        <is>
          <t>ADAPT from library WP_01-17 for in-scope modules</t>
        </is>
      </c>
      <c r="J11" s="4" t="inlineStr">
        <is>
          <t>P2</t>
        </is>
      </c>
    </row>
    <row r="12" ht="40" customHeight="1">
      <c r="A12" s="5" t="n">
        <v>8</v>
      </c>
      <c r="B12" s="5" t="inlineStr">
        <is>
          <t>Build / Sprints 1-6</t>
        </is>
      </c>
      <c r="C12" s="5" t="inlineStr">
        <is>
          <t>ECS</t>
        </is>
      </c>
      <c r="D12" s="5" t="inlineStr">
        <is>
          <t>Workshop decks &amp; facilitation</t>
        </is>
      </c>
      <c r="E12" s="5" t="inlineStr">
        <is>
          <t>Have</t>
        </is>
      </c>
      <c r="F12" s="5" t="inlineStr">
        <is>
          <t>18 client decks, scope notes, facilitation guide</t>
        </is>
      </c>
      <c r="G12" s="5" t="inlineStr">
        <is>
          <t>-</t>
        </is>
      </c>
      <c r="H12" s="5" t="inlineStr">
        <is>
          <t>-</t>
        </is>
      </c>
      <c r="I12" s="5" t="inlineStr">
        <is>
          <t>Maintain</t>
        </is>
      </c>
      <c r="J12" s="5" t="inlineStr">
        <is>
          <t>P3</t>
        </is>
      </c>
    </row>
    <row r="13" ht="40" customHeight="1">
      <c r="A13" s="4" t="n">
        <v>9</v>
      </c>
      <c r="B13" s="4" t="inlineStr">
        <is>
          <t>Build / Sprints 1-6</t>
        </is>
      </c>
      <c r="C13" s="4" t="inlineStr">
        <is>
          <t>Customer</t>
        </is>
      </c>
      <c r="D13" s="4" t="inlineStr">
        <is>
          <t>Accelerator data packs</t>
        </is>
      </c>
      <c r="E13" s="4" t="inlineStr">
        <is>
          <t>Have</t>
        </is>
      </c>
      <c r="F13" s="4" t="inlineStr">
        <is>
          <t>13 packs incl. Vonage; index README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Distribute on schedule</t>
        </is>
      </c>
      <c r="J13" s="4" t="inlineStr">
        <is>
          <t>P3</t>
        </is>
      </c>
    </row>
    <row r="14" ht="40" customHeight="1">
      <c r="A14" s="5" t="n">
        <v>10</v>
      </c>
      <c r="B14" s="5" t="inlineStr">
        <is>
          <t>Build / Sprints 1-6</t>
        </is>
      </c>
      <c r="C14" s="5" t="inlineStr">
        <is>
          <t>ECS</t>
        </is>
      </c>
      <c r="D14" s="5" t="inlineStr">
        <is>
          <t>Configuration backlog (stories)</t>
        </is>
      </c>
      <c r="E14" s="5" t="inlineStr">
        <is>
          <t>Have</t>
        </is>
      </c>
      <c r="F14" s="5" t="inlineStr">
        <is>
          <t>141 config stories, SN Agile-ready, AC + DoD</t>
        </is>
      </c>
      <c r="G14" s="5" t="inlineStr">
        <is>
          <t>-</t>
        </is>
      </c>
      <c r="H14" s="5" t="inlineStr">
        <is>
          <t>-</t>
        </is>
      </c>
      <c r="I14" s="5" t="inlineStr">
        <is>
          <t>Import to SN Agile</t>
        </is>
      </c>
      <c r="J14" s="5" t="inlineStr">
        <is>
          <t>P2</t>
        </is>
      </c>
    </row>
    <row r="15" ht="40" customHeight="1">
      <c r="A15" s="4" t="n">
        <v>11</v>
      </c>
      <c r="B15" s="4" t="inlineStr">
        <is>
          <t>Build / Sprints 1-6</t>
        </is>
      </c>
      <c r="C15" s="4" t="inlineStr">
        <is>
          <t>ECS</t>
        </is>
      </c>
      <c r="D15" s="4" t="inlineStr">
        <is>
          <t>Project delivery backlog (non-dev)</t>
        </is>
      </c>
      <c r="E15" s="4" t="inlineStr">
        <is>
          <t>Have</t>
        </is>
      </c>
      <c r="F15" s="4" t="inlineStr">
        <is>
          <t>55 delivery stories across 9 work-streams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Import; track on dashboard</t>
        </is>
      </c>
      <c r="J15" s="4" t="inlineStr">
        <is>
          <t>P3</t>
        </is>
      </c>
    </row>
    <row r="16" ht="40" customHeight="1">
      <c r="A16" s="5" t="n">
        <v>12</v>
      </c>
      <c r="B16" s="5" t="inlineStr">
        <is>
          <t>Build / Sprints 1-6</t>
        </is>
      </c>
      <c r="C16" s="5" t="inlineStr">
        <is>
          <t>ECS</t>
        </is>
      </c>
      <c r="D16" s="5" t="inlineStr">
        <is>
          <t>Sprint plan &amp; capacity model</t>
        </is>
      </c>
      <c r="E16" s="5" t="inlineStr">
        <is>
          <t>Gap</t>
        </is>
      </c>
      <c r="F16" s="5" t="inlineStr">
        <is>
          <t>Stories carry target sprints; resource buildup tab</t>
        </is>
      </c>
      <c r="G16" s="5" t="inlineStr">
        <is>
          <t>No capacity-vs-load check (do ~196 stories fit team velocity over 6 sprints?)</t>
        </is>
      </c>
      <c r="H16" s="5" t="inlineStr">
        <is>
          <t>Hidden overload -&gt; mid-engagement slippage</t>
        </is>
      </c>
      <c r="I16" s="5" t="inlineStr">
        <is>
          <t>BUILD - sprint-by-sprint capacity vs story-point load</t>
        </is>
      </c>
      <c r="J16" s="5" t="inlineStr">
        <is>
          <t>P2</t>
        </is>
      </c>
    </row>
    <row r="17" ht="40" customHeight="1">
      <c r="A17" s="4" t="n">
        <v>13</v>
      </c>
      <c r="B17" s="4" t="inlineStr">
        <is>
          <t>Build / Sprints 1-6</t>
        </is>
      </c>
      <c r="C17" s="4" t="inlineStr">
        <is>
          <t>ECS</t>
        </is>
      </c>
      <c r="D17" s="4" t="inlineStr">
        <is>
          <t>Definition of Ready</t>
        </is>
      </c>
      <c r="E17" s="4" t="inlineStr">
        <is>
          <t>Gap</t>
        </is>
      </c>
      <c r="F17" s="4" t="inlineStr">
        <is>
          <t>Definition of Done exists</t>
        </is>
      </c>
      <c r="G17" s="4" t="inlineStr">
        <is>
          <t>No DoR (when a story may enter a sprint)</t>
        </is>
      </c>
      <c r="H17" s="4" t="inlineStr">
        <is>
          <t>Half-baked stories enter sprints -&gt; churn</t>
        </is>
      </c>
      <c r="I17" s="4" t="inlineStr">
        <is>
          <t>Add a short DoR (1 page / tab)</t>
        </is>
      </c>
      <c r="J17" s="4" t="inlineStr">
        <is>
          <t>P3</t>
        </is>
      </c>
    </row>
    <row r="18" ht="40" customHeight="1">
      <c r="A18" s="5" t="n">
        <v>14</v>
      </c>
      <c r="B18" s="5" t="inlineStr">
        <is>
          <t>Build / Sprints 1-6</t>
        </is>
      </c>
      <c r="C18" s="5" t="inlineStr">
        <is>
          <t>ECS</t>
        </is>
      </c>
      <c r="D18" s="5" t="inlineStr">
        <is>
          <t>Sprint ceremonies (planning, retro)</t>
        </is>
      </c>
      <c r="E18" s="5" t="inlineStr">
        <is>
          <t>Partial</t>
        </is>
      </c>
      <c r="F18" s="5" t="inlineStr">
        <is>
          <t>Sprint Demo template exists</t>
        </is>
      </c>
      <c r="G18" s="5" t="inlineStr">
        <is>
          <t>No planning agenda or retrospective template</t>
        </is>
      </c>
      <c r="H18" s="5" t="inlineStr">
        <is>
          <t>Inconsistent ceremonies</t>
        </is>
      </c>
      <c r="I18" s="5" t="inlineStr">
        <is>
          <t>Add planning + retro templates</t>
        </is>
      </c>
      <c r="J18" s="5" t="inlineStr">
        <is>
          <t>P3</t>
        </is>
      </c>
    </row>
    <row r="19" ht="40" customHeight="1">
      <c r="A19" s="4" t="n">
        <v>15</v>
      </c>
      <c r="B19" s="4" t="inlineStr">
        <is>
          <t>Build / Sprints 1-6</t>
        </is>
      </c>
      <c r="C19" s="4" t="inlineStr">
        <is>
          <t>ECS</t>
        </is>
      </c>
      <c r="D19" s="4" t="inlineStr">
        <is>
          <t>Per-module demo scripts</t>
        </is>
      </c>
      <c r="E19" s="4" t="inlineStr">
        <is>
          <t>Gap</t>
        </is>
      </c>
      <c r="F19" s="4" t="inlineStr">
        <is>
          <t>Sprint Demo shell; library INT-DS demo scripts exist</t>
        </is>
      </c>
      <c r="G19" s="4" t="inlineStr">
        <is>
          <t>Connection demo scripts not created</t>
        </is>
      </c>
      <c r="H19" s="4" t="inlineStr">
        <is>
          <t>Inconsistent demos; weak sign-off moments</t>
        </is>
      </c>
      <c r="I19" s="4" t="inlineStr">
        <is>
          <t>ADAPT library demo scripts for in-scope modules</t>
        </is>
      </c>
      <c r="J19" s="4" t="inlineStr">
        <is>
          <t>P3</t>
        </is>
      </c>
    </row>
    <row r="20" ht="40" customHeight="1">
      <c r="A20" s="5" t="n">
        <v>16</v>
      </c>
      <c r="B20" s="5" t="inlineStr">
        <is>
          <t>Build / Sprints 1-6</t>
        </is>
      </c>
      <c r="C20" s="5" t="inlineStr">
        <is>
          <t>Both</t>
        </is>
      </c>
      <c r="D20" s="5" t="inlineStr">
        <is>
          <t>Decision register (running)</t>
        </is>
      </c>
      <c r="E20" s="5" t="inlineStr">
        <is>
          <t>Partial</t>
        </is>
      </c>
      <c r="F20" s="5" t="inlineStr">
        <is>
          <t>Triage Log (deviations) + sprint workbooks</t>
        </is>
      </c>
      <c r="G20" s="5" t="inlineStr">
        <is>
          <t>No general open-decisions register beyond deviations</t>
        </is>
      </c>
      <c r="H20" s="5" t="inlineStr">
        <is>
          <t>Decisions lost between workshops</t>
        </is>
      </c>
      <c r="I20" s="5" t="inlineStr">
        <is>
          <t>Add a decisions log (or extend RAID)</t>
        </is>
      </c>
      <c r="J20" s="5" t="inlineStr">
        <is>
          <t>P3</t>
        </is>
      </c>
    </row>
    <row r="21" ht="40" customHeight="1">
      <c r="A21" s="4" t="n">
        <v>17</v>
      </c>
      <c r="B21" s="4" t="inlineStr">
        <is>
          <t>Build / Sprints 1-6</t>
        </is>
      </c>
      <c r="C21" s="4" t="inlineStr">
        <is>
          <t>Both</t>
        </is>
      </c>
      <c r="D21" s="4" t="inlineStr">
        <is>
          <t>Story/sprint acceptance &amp; sign-off</t>
        </is>
      </c>
      <c r="E21" s="4" t="inlineStr">
        <is>
          <t>Partial</t>
        </is>
      </c>
      <c r="F21" s="4" t="inlineStr">
        <is>
          <t>DoD requires PO sign-off; SOW = 3-day acceptance window</t>
        </is>
      </c>
      <c r="G21" s="4" t="inlineStr">
        <is>
          <t>No acceptance/sign-off log operationalizing the window</t>
        </is>
      </c>
      <c r="H21" s="4" t="inlineStr">
        <is>
          <t>Acceptance drift -&gt; PCR triggers missed</t>
        </is>
      </c>
      <c r="I21" s="4" t="inlineStr">
        <is>
          <t>BUILD a lightweight acceptance/sign-off log</t>
        </is>
      </c>
      <c r="J21" s="4" t="inlineStr">
        <is>
          <t>P2</t>
        </is>
      </c>
    </row>
    <row r="22" ht="40" customHeight="1">
      <c r="A22" s="5" t="n">
        <v>18</v>
      </c>
      <c r="B22" s="5" t="inlineStr">
        <is>
          <t>Build / Sprints 1-6</t>
        </is>
      </c>
      <c r="C22" s="5" t="inlineStr">
        <is>
          <t>ECS</t>
        </is>
      </c>
      <c r="D22" s="5" t="inlineStr">
        <is>
          <t>Design documentation (per sprint)</t>
        </is>
      </c>
      <c r="E22" s="5" t="inlineStr">
        <is>
          <t>Partial</t>
        </is>
      </c>
      <c r="F22" s="5" t="inlineStr">
        <is>
          <t>Delivery story + library sprint workbooks</t>
        </is>
      </c>
      <c r="G22" s="5" t="inlineStr">
        <is>
          <t>Connection sprint-workbook copies not yet created</t>
        </is>
      </c>
      <c r="H22" s="5" t="inlineStr">
        <is>
          <t>Decisions not captured -&gt; KT gaps</t>
        </is>
      </c>
      <c r="I22" s="5" t="inlineStr">
        <is>
          <t>Copy sprint workbooks into Connection as decisions land</t>
        </is>
      </c>
      <c r="J22" s="5" t="inlineStr">
        <is>
          <t>P3</t>
        </is>
      </c>
    </row>
    <row r="23" ht="40" customHeight="1">
      <c r="A23" s="4" t="n">
        <v>19</v>
      </c>
      <c r="B23" s="4" t="inlineStr">
        <is>
          <t>Testing</t>
        </is>
      </c>
      <c r="C23" s="4" t="inlineStr">
        <is>
          <t>ECS</t>
        </is>
      </c>
      <c r="D23" s="4" t="inlineStr">
        <is>
          <t>UAT end-to-end scripts + guidebook</t>
        </is>
      </c>
      <c r="E23" s="4" t="inlineStr">
        <is>
          <t>Have</t>
        </is>
      </c>
      <c r="F23" s="4" t="inlineStr">
        <is>
          <t>18 E2E scripts, story traceability, guidebook, defect log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Assign testers at UAT</t>
        </is>
      </c>
      <c r="J23" s="4" t="inlineStr">
        <is>
          <t>P2</t>
        </is>
      </c>
    </row>
    <row r="24" ht="40" customHeight="1">
      <c r="A24" s="5" t="n">
        <v>20</v>
      </c>
      <c r="B24" s="5" t="inlineStr">
        <is>
          <t>Testing</t>
        </is>
      </c>
      <c r="C24" s="5" t="inlineStr">
        <is>
          <t>ECS</t>
        </is>
      </c>
      <c r="D24" s="5" t="inlineStr">
        <is>
          <t>SIT / integration test scripts &amp; test-data plan</t>
        </is>
      </c>
      <c r="E24" s="5" t="inlineStr">
        <is>
          <t>Gap</t>
        </is>
      </c>
      <c r="F24" s="5" t="inlineStr">
        <is>
          <t>SIT delivery story exists</t>
        </is>
      </c>
      <c r="G24" s="5" t="inlineStr">
        <is>
          <t>No SIT script pack or test-data strategy</t>
        </is>
      </c>
      <c r="H24" s="5" t="inlineStr">
        <is>
          <t>Integration defects surface late (AD/SSO, SCCM, Intune, CTI)</t>
        </is>
      </c>
      <c r="I24" s="5" t="inlineStr">
        <is>
          <t>BUILD SIT scripts + a test-data plan</t>
        </is>
      </c>
      <c r="J24" s="5" t="inlineStr">
        <is>
          <t>P2</t>
        </is>
      </c>
    </row>
    <row r="25" ht="40" customHeight="1">
      <c r="A25" s="4" t="n">
        <v>21</v>
      </c>
      <c r="B25" s="4" t="inlineStr">
        <is>
          <t>Go-Live / Cutover</t>
        </is>
      </c>
      <c r="C25" s="4" t="inlineStr">
        <is>
          <t>ECS</t>
        </is>
      </c>
      <c r="D25" s="4" t="inlineStr">
        <is>
          <t>Cutover Runbook</t>
        </is>
      </c>
      <c r="E25" s="4" t="inlineStr">
        <is>
          <t>Have</t>
        </is>
      </c>
      <c r="F25" s="4" t="inlineStr">
        <is>
          <t>Connection_Cutover_Runbook.docx (sequence, owners, validation, rollback, comms)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Finalize specifics in Sprint 7</t>
        </is>
      </c>
      <c r="J25" s="4" t="inlineStr">
        <is>
          <t>P1</t>
        </is>
      </c>
    </row>
    <row r="26" ht="40" customHeight="1">
      <c r="A26" s="5" t="n">
        <v>22</v>
      </c>
      <c r="B26" s="5" t="inlineStr">
        <is>
          <t>Go-Live / Cutover</t>
        </is>
      </c>
      <c r="C26" s="5" t="inlineStr">
        <is>
          <t>Both</t>
        </is>
      </c>
      <c r="D26" s="5" t="inlineStr">
        <is>
          <t>Go-Live Readiness Checklist (Connection)</t>
        </is>
      </c>
      <c r="E26" s="5" t="inlineStr">
        <is>
          <t>Have</t>
        </is>
      </c>
      <c r="F26" s="5" t="inlineStr">
        <is>
          <t>Connection_Go_Live_Readiness_Checklist.xlsx (gated go/no-go criteria)</t>
        </is>
      </c>
      <c r="G26" s="5" t="inlineStr">
        <is>
          <t>-</t>
        </is>
      </c>
      <c r="H26" s="5" t="inlineStr">
        <is>
          <t>-</t>
        </is>
      </c>
      <c r="I26" s="5" t="inlineStr">
        <is>
          <t>Work it through Stage 3</t>
        </is>
      </c>
      <c r="J26" s="5" t="inlineStr">
        <is>
          <t>P1</t>
        </is>
      </c>
    </row>
    <row r="27" ht="40" customHeight="1">
      <c r="A27" s="4" t="n">
        <v>23</v>
      </c>
      <c r="B27" s="4" t="inlineStr">
        <is>
          <t>Go-Live / Cutover</t>
        </is>
      </c>
      <c r="C27" s="4" t="inlineStr">
        <is>
          <t>Both</t>
        </is>
      </c>
      <c r="D27" s="4" t="inlineStr">
        <is>
          <t>Go-Live readiness sign-off</t>
        </is>
      </c>
      <c r="E27" s="4" t="inlineStr">
        <is>
          <t>Partial</t>
        </is>
      </c>
      <c r="F27" s="4" t="inlineStr">
        <is>
          <t>Delivery story + DoD</t>
        </is>
      </c>
      <c r="G27" s="4" t="inlineStr">
        <is>
          <t>No sign-off form</t>
        </is>
      </c>
      <c r="H27" s="4" t="inlineStr">
        <is>
          <t>Authorization not formally captured</t>
        </is>
      </c>
      <c r="I27" s="4" t="inlineStr">
        <is>
          <t>Add a sign-off form</t>
        </is>
      </c>
      <c r="J27" s="4" t="inlineStr">
        <is>
          <t>P2</t>
        </is>
      </c>
    </row>
    <row r="28" ht="40" customHeight="1">
      <c r="A28" s="5" t="n">
        <v>24</v>
      </c>
      <c r="B28" s="5" t="inlineStr">
        <is>
          <t>Hypercare / Close</t>
        </is>
      </c>
      <c r="C28" s="5" t="inlineStr">
        <is>
          <t>Both</t>
        </is>
      </c>
      <c r="D28" s="5" t="inlineStr">
        <is>
          <t>Operational Handoff Pack</t>
        </is>
      </c>
      <c r="E28" s="5" t="inlineStr">
        <is>
          <t>Gap</t>
        </is>
      </c>
      <c r="F28" s="5" t="inlineStr">
        <is>
          <t>Library CLT-CO-03; delivery story</t>
        </is>
      </c>
      <c r="G28" s="5" t="inlineStr">
        <is>
          <t>Ownership matrix, support model, escalation not built for Connection</t>
        </is>
      </c>
      <c r="H28" s="5" t="inlineStr">
        <is>
          <t>Unclear steady-state ownership post-Hypercare</t>
        </is>
      </c>
      <c r="I28" s="5" t="inlineStr">
        <is>
          <t>BUILD from library + RACI</t>
        </is>
      </c>
      <c r="J28" s="5" t="inlineStr">
        <is>
          <t>P2</t>
        </is>
      </c>
    </row>
    <row r="29" ht="40" customHeight="1">
      <c r="A29" s="4" t="n">
        <v>25</v>
      </c>
      <c r="B29" s="4" t="inlineStr">
        <is>
          <t>Hypercare / Close</t>
        </is>
      </c>
      <c r="C29" s="4" t="inlineStr">
        <is>
          <t>Both</t>
        </is>
      </c>
      <c r="D29" s="4" t="inlineStr">
        <is>
          <t>Hypercare support model &amp; exit report</t>
        </is>
      </c>
      <c r="E29" s="4" t="inlineStr">
        <is>
          <t>Partial</t>
        </is>
      </c>
      <c r="F29" s="4" t="inlineStr">
        <is>
          <t>Library CLT-CO-03/06; delivery story</t>
        </is>
      </c>
      <c r="G29" s="4" t="inlineStr">
        <is>
          <t>Connection copies not created</t>
        </is>
      </c>
      <c r="H29" s="4" t="inlineStr">
        <is>
          <t>Handover ambiguity</t>
        </is>
      </c>
      <c r="I29" s="4" t="inlineStr">
        <is>
          <t>Copy + tailor near Go-Live</t>
        </is>
      </c>
      <c r="J29" s="4" t="inlineStr">
        <is>
          <t>P3</t>
        </is>
      </c>
    </row>
    <row r="30" ht="40" customHeight="1">
      <c r="A30" s="5" t="n">
        <v>26</v>
      </c>
      <c r="B30" s="5" t="inlineStr">
        <is>
          <t>Hypercare / Close</t>
        </is>
      </c>
      <c r="C30" s="5" t="inlineStr">
        <is>
          <t>ECS</t>
        </is>
      </c>
      <c r="D30" s="5" t="inlineStr">
        <is>
          <t>KT Package (Admin + Train-the-Trainer)</t>
        </is>
      </c>
      <c r="E30" s="5" t="inlineStr">
        <is>
          <t>Have</t>
        </is>
      </c>
      <c r="F30" s="5" t="inlineStr">
        <is>
          <t>Admin Guide &amp; KT, Train-the-Trainer Toolkit</t>
        </is>
      </c>
      <c r="G30" s="5" t="inlineStr">
        <is>
          <t>-</t>
        </is>
      </c>
      <c r="H30" s="5" t="inlineStr">
        <is>
          <t>-</t>
        </is>
      </c>
      <c r="I30" s="5" t="inlineStr">
        <is>
          <t>Deliver at Go-Live</t>
        </is>
      </c>
      <c r="J30" s="5" t="inlineStr">
        <is>
          <t>P3</t>
        </is>
      </c>
    </row>
    <row r="31" ht="40" customHeight="1">
      <c r="A31" s="4" t="n">
        <v>27</v>
      </c>
      <c r="B31" s="4" t="inlineStr">
        <is>
          <t>Hypercare / Close</t>
        </is>
      </c>
      <c r="C31" s="4" t="inlineStr">
        <is>
          <t>Both</t>
        </is>
      </c>
      <c r="D31" s="4" t="inlineStr">
        <is>
          <t>Lessons Learned &amp; Closeout + 12-mo roadmap</t>
        </is>
      </c>
      <c r="E31" s="4" t="inlineStr">
        <is>
          <t>Partial</t>
        </is>
      </c>
      <c r="F31" s="4" t="inlineStr">
        <is>
          <t>Library + delivery stories</t>
        </is>
      </c>
      <c r="G31" s="4" t="inlineStr">
        <is>
          <t>Connection copies not created</t>
        </is>
      </c>
      <c r="H31" s="4" t="inlineStr">
        <is>
          <t>Close not documented</t>
        </is>
      </c>
      <c r="I31" s="4" t="inlineStr">
        <is>
          <t>Produce at close</t>
        </is>
      </c>
      <c r="J31" s="4" t="inlineStr">
        <is>
          <t>P3</t>
        </is>
      </c>
    </row>
    <row r="32" ht="40" customHeight="1">
      <c r="A32" s="5" t="n">
        <v>28</v>
      </c>
      <c r="B32" s="5" t="inlineStr">
        <is>
          <t>Governance / Scope</t>
        </is>
      </c>
      <c r="C32" s="5" t="inlineStr">
        <is>
          <t>Both</t>
        </is>
      </c>
      <c r="D32" s="5" t="inlineStr">
        <is>
          <t>PCR (Project Change Request) template</t>
        </is>
      </c>
      <c r="E32" s="5" t="inlineStr">
        <is>
          <t>Gap</t>
        </is>
      </c>
      <c r="F32" s="5" t="inlineStr">
        <is>
          <t>SOW Sec 9 PCR process referenced in guidelines</t>
        </is>
      </c>
      <c r="G32" s="5" t="inlineStr">
        <is>
          <t>No PCR request form/template</t>
        </is>
      </c>
      <c r="H32" s="5" t="inlineStr">
        <is>
          <t>Scope changes uncontrolled; SOW ties acceptance delays &amp; customization #6 to PCR</t>
        </is>
      </c>
      <c r="I32" s="5" t="inlineStr">
        <is>
          <t>BUILD a PCR form + log</t>
        </is>
      </c>
      <c r="J32" s="5" t="inlineStr">
        <is>
          <t>P2</t>
        </is>
      </c>
    </row>
    <row r="33" ht="40" customHeight="1">
      <c r="A33" s="4" t="n">
        <v>29</v>
      </c>
      <c r="B33" s="4" t="inlineStr">
        <is>
          <t>Governance / Scope</t>
        </is>
      </c>
      <c r="C33" s="4" t="inlineStr">
        <is>
          <t>ECS</t>
        </is>
      </c>
      <c r="D33" s="4" t="inlineStr">
        <is>
          <t>Assumptions &amp; Out-of-Scope register</t>
        </is>
      </c>
      <c r="E33" s="4" t="inlineStr">
        <is>
          <t>Gap</t>
        </is>
      </c>
      <c r="F33" s="4" t="inlineStr">
        <is>
          <t>SOW Sec 7-8 text</t>
        </is>
      </c>
      <c r="G33" s="4" t="inlineStr">
        <is>
          <t>No tracker to manage assumptions/out-of-scope</t>
        </is>
      </c>
      <c r="H33" s="4" t="inlineStr">
        <is>
          <t>Scope creep; assumptions unverified</t>
        </is>
      </c>
      <c r="I33" s="4" t="inlineStr">
        <is>
          <t>Add a register (or tab in RAID)</t>
        </is>
      </c>
      <c r="J33" s="4" t="inlineStr">
        <is>
          <t>P3</t>
        </is>
      </c>
    </row>
    <row r="34" ht="40" customHeight="1">
      <c r="A34" s="5" t="n">
        <v>30</v>
      </c>
      <c r="B34" s="5" t="inlineStr">
        <is>
          <t>Governance / Scope</t>
        </is>
      </c>
      <c r="C34" s="5" t="inlineStr">
        <is>
          <t>ECS</t>
        </is>
      </c>
      <c r="D34" s="5" t="inlineStr">
        <is>
          <t>Customization variance tracking</t>
        </is>
      </c>
      <c r="E34" s="5" t="inlineStr">
        <is>
          <t>Partial</t>
        </is>
      </c>
      <c r="F34" s="5" t="inlineStr">
        <is>
          <t>Triage/RAID has Triage Log + cap counter</t>
        </is>
      </c>
      <c r="G34" s="5" t="inlineStr">
        <is>
          <t>Library INT-TBV-03 variance tracker (effort %) not copied</t>
        </is>
      </c>
      <c r="H34" s="5" t="inlineStr">
        <is>
          <t>Variance % not tracked to capacity</t>
        </is>
      </c>
      <c r="I34" s="5" t="inlineStr">
        <is>
          <t>Optional - add variance tab</t>
        </is>
      </c>
      <c r="J34" s="5" t="inlineStr">
        <is>
          <t>P3</t>
        </is>
      </c>
    </row>
    <row r="35" ht="40" customHeight="1">
      <c r="A35" s="4" t="n">
        <v>31</v>
      </c>
      <c r="B35" s="4" t="inlineStr">
        <is>
          <t>Governance / Scope</t>
        </is>
      </c>
      <c r="C35" s="4" t="inlineStr">
        <is>
          <t>Both</t>
        </is>
      </c>
      <c r="D35" s="4" t="inlineStr">
        <is>
          <t>Status report, exec dashboard, deliverables matrix</t>
        </is>
      </c>
      <c r="E35" s="4" t="inlineStr">
        <is>
          <t>Have</t>
        </is>
      </c>
      <c r="F35" s="4" t="inlineStr">
        <is>
          <t>Weekly status, Exec Dashboard v2 (delivery metrics), SOW matrix</t>
        </is>
      </c>
      <c r="G35" s="4" t="inlineStr">
        <is>
          <t>-</t>
        </is>
      </c>
      <c r="H35" s="4" t="inlineStr">
        <is>
          <t>-</t>
        </is>
      </c>
      <c r="I35" s="4" t="inlineStr">
        <is>
          <t>Run the cadence</t>
        </is>
      </c>
      <c r="J35" s="4" t="inlineStr">
        <is>
          <t>P3</t>
        </is>
      </c>
    </row>
    <row r="37">
      <c r="A37" s="6" t="inlineStr">
        <is>
          <t>SUMMARY</t>
        </is>
      </c>
    </row>
    <row r="38">
      <c r="A38" s="7" t="inlineStr">
        <is>
          <t>Total items</t>
        </is>
      </c>
      <c r="B38" s="8">
        <f>COUNTA(D5:D35)</f>
        <v/>
      </c>
    </row>
    <row r="39">
      <c r="A39" s="7" t="inlineStr">
        <is>
          <t>Have</t>
        </is>
      </c>
      <c r="B39" s="8">
        <f>COUNTIF(E5:E35,"Have")</f>
        <v/>
      </c>
    </row>
    <row r="40">
      <c r="A40" s="7" t="inlineStr">
        <is>
          <t>Partial</t>
        </is>
      </c>
      <c r="B40" s="8">
        <f>COUNTIF(E5:E35,"Partial")</f>
        <v/>
      </c>
    </row>
    <row r="41">
      <c r="A41" s="7" t="inlineStr">
        <is>
          <t>Gap</t>
        </is>
      </c>
      <c r="B41" s="8">
        <f>COUNTIF(E5:E35,"Gap")</f>
        <v/>
      </c>
    </row>
    <row r="42">
      <c r="A42" s="7" t="inlineStr">
        <is>
          <t>P1 (close first)</t>
        </is>
      </c>
      <c r="B42" s="8">
        <f>COUNTIF(J5:J35,"P1")</f>
        <v/>
      </c>
    </row>
    <row r="43">
      <c r="A43" s="7" t="inlineStr">
        <is>
          <t>P2</t>
        </is>
      </c>
      <c r="B43" s="8">
        <f>COUNTIF(J5:J35,"P2")</f>
        <v/>
      </c>
    </row>
  </sheetData>
  <conditionalFormatting sqref="E5:E35">
    <cfRule type="cellIs" priority="1" operator="equal" dxfId="0">
      <formula>"Have"</formula>
    </cfRule>
    <cfRule type="cellIs" priority="2" operator="equal" dxfId="1">
      <formula>"Partial"</formula>
    </cfRule>
    <cfRule type="cellIs" priority="3" operator="equal" dxfId="2">
      <formula>"Gap"</formula>
    </cfRule>
  </conditionalFormatting>
  <conditionalFormatting sqref="J5:J35">
    <cfRule type="cellIs" priority="4" operator="equal" dxfId="2">
      <formula>"P1"</formula>
    </cfRule>
    <cfRule type="cellIs" priority="5" operator="equal" dxfId="3">
      <formula>"P2"</formula>
    </cfRule>
  </conditionalFormatting>
  <dataValidations count="2">
    <dataValidation sqref="E5:E35" showDropDown="0" showInputMessage="0" showErrorMessage="0" allowBlank="1" type="list">
      <formula1>"Have,Partial,Gap"</formula1>
    </dataValidation>
    <dataValidation sqref="J5:J35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2026-06-10T03:16:59Z</dcterms:created>
  <dcterms:modified xmlns:dcterms="http://purl.org/dc/terms/" xmlns:xsi="http://www.w3.org/2001/XMLSchema-instance" xsi:type="dcterms:W3CDTF">2026-06-10T03:16:59Z</dcterms:modified>
</cp:coreProperties>
</file>