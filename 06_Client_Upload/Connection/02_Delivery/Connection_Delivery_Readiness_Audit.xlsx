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livery Readiness Audi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<sst xmlns="http://schemas.openxmlformats.org/spreadsheetml/2006/main" count="298" uniqueCount="159">
  <si>
    <t xml:space="preserve">CONNECTION - DELIVERY READINESS AUDIT (start to finish; ECS + customer lenses)</t>
  </si>
  <si>
    <t xml:space="preserve">Audited against SOW v2.0 across the full lifecycle. Status: Have | Partial | Gap. Priority: P1 (close before/at the relevant phase) | P2 | P3. The biggest delivery risk is customer dependencies (SOW Sec 6).</t>
  </si>
  <si>
    <t xml:space="preserve">#</t>
  </si>
  <si>
    <t xml:space="preserve">Phase</t>
  </si>
  <si>
    <t xml:space="preserve">Lens</t>
  </si>
  <si>
    <t xml:space="preserve">Capability / Artifact</t>
  </si>
  <si>
    <t xml:space="preserve">Status</t>
  </si>
  <si>
    <t xml:space="preserve">What exists today</t>
  </si>
  <si>
    <t xml:space="preserve">Gap / what's missing</t>
  </si>
  <si>
    <t xml:space="preserve">Delivery risk if unaddressed</t>
  </si>
  <si>
    <t xml:space="preserve">Recommendation</t>
  </si>
  <si>
    <t xml:space="preserve">Priority</t>
  </si>
  <si>
    <t xml:space="preserve">Setup / Sprint 0</t>
  </si>
  <si>
    <t xml:space="preserve">Both</t>
  </si>
  <si>
    <t xml:space="preserve">Team &amp; client onboarding</t>
  </si>
  <si>
    <t xml:space="preserve">Have</t>
  </si>
  <si>
    <t xml:space="preserve">Onboarding guides, vision, role quick-ref, kickoff deck, checklist</t>
  </si>
  <si>
    <t xml:space="preserve">-</t>
  </si>
  <si>
    <t xml:space="preserve">Maintain</t>
  </si>
  <si>
    <t xml:space="preserve">P3</t>
  </si>
  <si>
    <t xml:space="preserve">Governance operating model</t>
  </si>
  <si>
    <t xml:space="preserve">Governance Charter, Delivery Guidelines, Triage/RAID</t>
  </si>
  <si>
    <t xml:space="preserve">ECS</t>
  </si>
  <si>
    <t xml:space="preserve">Project plan &amp; schedule</t>
  </si>
  <si>
    <t xml:space="preserve">18-week plan (Sprints 0-8); resource buildup tab</t>
  </si>
  <si>
    <t xml:space="preserve">Start date (B3) not set</t>
  </si>
  <si>
    <t xml:space="preserve">Dates won't flow until set</t>
  </si>
  <si>
    <t xml:space="preserve">Set start date at kickoff</t>
  </si>
  <si>
    <t xml:space="preserve">Customer</t>
  </si>
  <si>
    <t xml:space="preserve">Customer Responsibilities &amp; Dependency Tracker (full engagement)</t>
  </si>
  <si>
    <t xml:space="preserve">Connection_Customer_Dependency_Tracker.xlsx (all SOW Sec 6 deps, owner/due/status/impact)</t>
  </si>
  <si>
    <t xml:space="preserve">Maintain weekly; flag at-risk early</t>
  </si>
  <si>
    <t xml:space="preserve">P1</t>
  </si>
  <si>
    <t xml:space="preserve">RACI matrix</t>
  </si>
  <si>
    <t xml:space="preserve">Role &amp; Accountability Quick-Ref (RACI-style)</t>
  </si>
  <si>
    <t xml:space="preserve">No formal per-deliverable/per-activity RACI</t>
  </si>
  <si>
    <t xml:space="preserve">Ownership ambiguity on specific deliverables</t>
  </si>
  <si>
    <t xml:space="preserve">Derive a deliverable-level RACI cut</t>
  </si>
  <si>
    <t xml:space="preserve">P2</t>
  </si>
  <si>
    <t xml:space="preserve">Communication plan</t>
  </si>
  <si>
    <t xml:space="preserve">Cadence defined in setup story + guidelines</t>
  </si>
  <si>
    <t xml:space="preserve">No standalone comms plan artifact</t>
  </si>
  <si>
    <t xml:space="preserve">Minor - cadence is known</t>
  </si>
  <si>
    <t xml:space="preserve">Optional one-pager</t>
  </si>
  <si>
    <t xml:space="preserve">Build / Sprints 1-6</t>
  </si>
  <si>
    <t xml:space="preserve">Workshop pre-reads (per module)</t>
  </si>
  <si>
    <t xml:space="preserve">18 workshop decks + scope notes; library WP_01-17 exist</t>
  </si>
  <si>
    <t xml:space="preserve">Connection-tailored client pre-reads not created</t>
  </si>
  <si>
    <t xml:space="preserve">Cold workshops -&gt; weak/slow decisions -&gt; rework (facilitation model assumes pre-warmed decisions)</t>
  </si>
  <si>
    <t xml:space="preserve">ADAPT from library WP_01-17 for in-scope modules</t>
  </si>
  <si>
    <t xml:space="preserve">Workshop decks &amp; facilitation</t>
  </si>
  <si>
    <t xml:space="preserve">18 client decks, scope notes, facilitation guide</t>
  </si>
  <si>
    <t xml:space="preserve">Accelerator data packs</t>
  </si>
  <si>
    <t xml:space="preserve">13 packs incl. Vonage; index README</t>
  </si>
  <si>
    <t xml:space="preserve">Distribute on schedule</t>
  </si>
  <si>
    <t xml:space="preserve">Configuration backlog (stories)</t>
  </si>
  <si>
    <t xml:space="preserve">141 config stories, SN Agile-ready, AC + DoD</t>
  </si>
  <si>
    <t xml:space="preserve">Import to SN Agile</t>
  </si>
  <si>
    <t xml:space="preserve">Project delivery backlog (non-dev)</t>
  </si>
  <si>
    <t xml:space="preserve">55 delivery stories across 9 work-streams</t>
  </si>
  <si>
    <t xml:space="preserve">Import; track on dashboard</t>
  </si>
  <si>
    <t xml:space="preserve">Sprint plan &amp; capacity model</t>
  </si>
  <si>
    <t xml:space="preserve">Stories carry target sprints; resource buildup tab</t>
  </si>
  <si>
    <t xml:space="preserve">No capacity-vs-load check (do ~196 stories fit team velocity over 6 sprints?)</t>
  </si>
  <si>
    <t xml:space="preserve">Hidden overload -&gt; mid-engagement slippage</t>
  </si>
  <si>
    <t xml:space="preserve">BUILD - sprint-by-sprint capacity vs story-point load</t>
  </si>
  <si>
    <t xml:space="preserve">Definition of Ready</t>
  </si>
  <si>
    <t xml:space="preserve">Definition of Done exists</t>
  </si>
  <si>
    <t xml:space="preserve">No DoR (when a story may enter a sprint)</t>
  </si>
  <si>
    <t xml:space="preserve">Half-baked stories enter sprints -&gt; churn</t>
  </si>
  <si>
    <t xml:space="preserve">Add a short DoR (1 page / tab)</t>
  </si>
  <si>
    <t xml:space="preserve">Sprint ceremonies (planning, retro)</t>
  </si>
  <si>
    <t xml:space="preserve">Sprint Demo template exists</t>
  </si>
  <si>
    <t xml:space="preserve">No planning agenda or retrospective template</t>
  </si>
  <si>
    <t xml:space="preserve">Inconsistent ceremonies</t>
  </si>
  <si>
    <t xml:space="preserve">Add planning + retro templates</t>
  </si>
  <si>
    <t xml:space="preserve">Per-module demo scripts</t>
  </si>
  <si>
    <t xml:space="preserve">Sprint Demo shell; library INT-DS demo scripts exist</t>
  </si>
  <si>
    <t xml:space="preserve">Connection demo scripts not created</t>
  </si>
  <si>
    <t xml:space="preserve">Inconsistent demos; weak sign-off moments</t>
  </si>
  <si>
    <t xml:space="preserve">ADAPT library demo scripts for in-scope modules</t>
  </si>
  <si>
    <t xml:space="preserve">Decision register (running)</t>
  </si>
  <si>
    <t xml:space="preserve">Triage Log (deviations) + sprint workbooks</t>
  </si>
  <si>
    <t xml:space="preserve">No general open-decisions register beyond deviations</t>
  </si>
  <si>
    <t xml:space="preserve">Decisions lost between workshops</t>
  </si>
  <si>
    <t xml:space="preserve">Add a decisions log (or extend RAID)</t>
  </si>
  <si>
    <t xml:space="preserve">Story/sprint acceptance &amp; sign-off</t>
  </si>
  <si>
    <t xml:space="preserve">DoD requires PO sign-off; SOW = 3-day acceptance window</t>
  </si>
  <si>
    <t xml:space="preserve">No acceptance/sign-off log operationalizing the window</t>
  </si>
  <si>
    <t xml:space="preserve">Acceptance drift -&gt; PCR triggers missed</t>
  </si>
  <si>
    <t xml:space="preserve">BUILD a lightweight acceptance/sign-off log</t>
  </si>
  <si>
    <t xml:space="preserve">Design documentation (per sprint)</t>
  </si>
  <si>
    <t xml:space="preserve">Partial</t>
  </si>
  <si>
    <t xml:space="preserve">Delivery story + library sprint workbooks</t>
  </si>
  <si>
    <t xml:space="preserve">Connection sprint-workbook copies not yet created</t>
  </si>
  <si>
    <t xml:space="preserve">Decisions not captured -&gt; KT gaps</t>
  </si>
  <si>
    <t xml:space="preserve">Copy sprint workbooks into Connection as decisions land</t>
  </si>
  <si>
    <t xml:space="preserve">Testing</t>
  </si>
  <si>
    <t xml:space="preserve">UAT end-to-end scripts + guidebook</t>
  </si>
  <si>
    <t xml:space="preserve">18 E2E scripts, story traceability, guidebook, defect log</t>
  </si>
  <si>
    <t xml:space="preserve">Assign testers at UAT</t>
  </si>
  <si>
    <t xml:space="preserve">SIT / integration test scripts &amp; test-data plan</t>
  </si>
  <si>
    <t xml:space="preserve">SIT delivery story exists</t>
  </si>
  <si>
    <t xml:space="preserve">No SIT script pack or test-data strategy</t>
  </si>
  <si>
    <t xml:space="preserve">Integration defects surface late (AD/SSO, SCCM, Intune, CTI)</t>
  </si>
  <si>
    <t xml:space="preserve">BUILD SIT scripts + a test-data plan</t>
  </si>
  <si>
    <t xml:space="preserve">Go-Live / Cutover</t>
  </si>
  <si>
    <t xml:space="preserve">Cutover Runbook</t>
  </si>
  <si>
    <t xml:space="preserve">Connection_Cutover_Runbook.docx (sequence, owners, validation, rollback, comms)</t>
  </si>
  <si>
    <t xml:space="preserve">Finalize specifics in Sprint 7</t>
  </si>
  <si>
    <t xml:space="preserve">Go-Live Readiness Checklist (Connection)</t>
  </si>
  <si>
    <t xml:space="preserve">Connection_Go_Live_Readiness_Checklist.xlsx (gated go/no-go criteria)</t>
  </si>
  <si>
    <t xml:space="preserve">Work it through Stage 3</t>
  </si>
  <si>
    <t xml:space="preserve">Go-Live readiness sign-off</t>
  </si>
  <si>
    <t xml:space="preserve">Delivery story + DoD</t>
  </si>
  <si>
    <t xml:space="preserve">No sign-off form</t>
  </si>
  <si>
    <t xml:space="preserve">Authorization not formally captured</t>
  </si>
  <si>
    <t xml:space="preserve">Add a sign-off form</t>
  </si>
  <si>
    <t xml:space="preserve">Hypercare / Close</t>
  </si>
  <si>
    <t xml:space="preserve">Operational Handoff Pack</t>
  </si>
  <si>
    <t xml:space="preserve">Library CLT-CO-03; delivery story</t>
  </si>
  <si>
    <t xml:space="preserve">Ownership matrix, support model, escalation not built for Connection</t>
  </si>
  <si>
    <t xml:space="preserve">Unclear steady-state ownership post-Hypercare</t>
  </si>
  <si>
    <t xml:space="preserve">BUILD from library + RACI</t>
  </si>
  <si>
    <t xml:space="preserve">Hypercare support model &amp; exit report</t>
  </si>
  <si>
    <t xml:space="preserve">Library CLT-CO-03/06; delivery story</t>
  </si>
  <si>
    <t xml:space="preserve">Connection copies not created</t>
  </si>
  <si>
    <t xml:space="preserve">Handover ambiguity</t>
  </si>
  <si>
    <t xml:space="preserve">Copy + tailor near Go-Live</t>
  </si>
  <si>
    <t xml:space="preserve">KT Package (Admin + Train-the-Trainer)</t>
  </si>
  <si>
    <t xml:space="preserve">Admin Guide &amp; KT, Train-the-Trainer Toolkit</t>
  </si>
  <si>
    <t xml:space="preserve">Deliver at Go-Live</t>
  </si>
  <si>
    <t xml:space="preserve">Lessons Learned &amp; Closeout + 12-mo roadmap</t>
  </si>
  <si>
    <t xml:space="preserve">Library + delivery stories</t>
  </si>
  <si>
    <t xml:space="preserve">Close not documented</t>
  </si>
  <si>
    <t xml:space="preserve">Produce at close</t>
  </si>
  <si>
    <t xml:space="preserve">Governance / Scope</t>
  </si>
  <si>
    <t xml:space="preserve">PCR (Project Change Request) template</t>
  </si>
  <si>
    <t xml:space="preserve">SOW Sec 9 PCR process referenced in guidelines</t>
  </si>
  <si>
    <t xml:space="preserve">No PCR request form/template</t>
  </si>
  <si>
    <t xml:space="preserve">Scope changes uncontrolled; SOW ties acceptance delays &amp; customization #6 to PCR</t>
  </si>
  <si>
    <t xml:space="preserve">BUILD a PCR form + log</t>
  </si>
  <si>
    <t xml:space="preserve">Assumptions &amp; Out-of-Scope register</t>
  </si>
  <si>
    <t xml:space="preserve">SOW Sec 7-8 text</t>
  </si>
  <si>
    <t xml:space="preserve">No tracker to manage assumptions/out-of-scope</t>
  </si>
  <si>
    <t xml:space="preserve">Scope creep; assumptions unverified</t>
  </si>
  <si>
    <t xml:space="preserve">Add a register (or tab in RAID)</t>
  </si>
  <si>
    <t xml:space="preserve">Customization variance tracking</t>
  </si>
  <si>
    <t xml:space="preserve">Triage/RAID has Triage Log + cap counter</t>
  </si>
  <si>
    <t xml:space="preserve">Library INT-TBV-03 variance tracker (effort %) not copied</t>
  </si>
  <si>
    <t xml:space="preserve">Variance % not tracked to capacity</t>
  </si>
  <si>
    <t xml:space="preserve">Optional - add variance tab</t>
  </si>
  <si>
    <t xml:space="preserve">Status report, exec dashboard, deliverables matrix</t>
  </si>
  <si>
    <t xml:space="preserve">Weekly status, Exec Dashboard v2 (delivery metrics), SOW matrix</t>
  </si>
  <si>
    <t xml:space="preserve">Run the cadence</t>
  </si>
  <si>
    <t xml:space="preserve">SUMMARY</t>
  </si>
  <si>
    <t xml:space="preserve">Total items</t>
  </si>
  <si>
    <t xml:space="preserve">Gap</t>
  </si>
  <si>
    <t xml:space="preserve">P1 (close first)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</si>
</sst>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F3A"/>
      <name val="Calibri"/>
      <family val="0"/>
      <charset val="1"/>
    </font>
    <font>
      <i val="true"/>
      <sz val="9"/>
      <color rgb="FF47556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A1A1A"/>
      <name val="Calibri"/>
      <family val="0"/>
      <charset val="1"/>
    </font>
    <font>
      <b val="true"/>
      <sz val="11"/>
      <color rgb="FF0B1F3A"/>
      <name val="Calibri"/>
      <family val="0"/>
      <charset val="1"/>
    </font>
    <font>
      <sz val="10"/>
      <color rgb="FF475569"/>
      <name val="Calibri"/>
      <family val="0"/>
      <charset val="1"/>
    </font>
    <font>
      <b val="true"/>
      <sz val="10"/>
      <color rgb="FF0B1F3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B1F3A"/>
        <bgColor rgb="FF1A1A1A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CFCE7"/>
        </patternFill>
      </fill>
    </dxf>
    <dxf>
      <fill>
        <patternFill>
          <bgColor rgb="FFFEF9C3"/>
        </patternFill>
      </fill>
    </dxf>
    <dxf>
      <fill>
        <patternFill>
          <bgColor rgb="FFFEE2E2"/>
        </patternFill>
      </fill>
    </dxf>
    <dxf>
      <fill>
        <patternFill>
          <bgColor rgb="FFFEF3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9C3"/>
      <rgbColor rgb="FFDCFC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8F0"/>
      <rgbColor rgb="FFF8FAFC"/>
      <rgbColor rgb="FFFEF3C7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B1F3A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8" min="7" style="0" width="40"/>
    <col collapsed="false" customWidth="true" hidden="false" outlineLevel="0" max="9" min="9" style="0" width="34"/>
    <col collapsed="false" customWidth="true" hidden="false" outlineLevel="0" max="10" min="10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39.75" hidden="false" customHeight="true" outlineLevel="0" collapsed="false">
      <c r="A5" s="4" t="n">
        <v>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17</v>
      </c>
      <c r="I5" s="4" t="s">
        <v>18</v>
      </c>
      <c r="J5" s="4" t="s">
        <v>19</v>
      </c>
    </row>
    <row r="6" customFormat="false" ht="39.75" hidden="false" customHeight="true" outlineLevel="0" collapsed="false">
      <c r="A6" s="5" t="n">
        <v>2</v>
      </c>
      <c r="B6" s="5" t="s">
        <v>12</v>
      </c>
      <c r="C6" s="5" t="s">
        <v>13</v>
      </c>
      <c r="D6" s="5" t="s">
        <v>20</v>
      </c>
      <c r="E6" s="5" t="s">
        <v>15</v>
      </c>
      <c r="F6" s="5" t="s">
        <v>21</v>
      </c>
      <c r="G6" s="5" t="s">
        <v>17</v>
      </c>
      <c r="H6" s="5" t="s">
        <v>17</v>
      </c>
      <c r="I6" s="5" t="s">
        <v>18</v>
      </c>
      <c r="J6" s="5" t="s">
        <v>19</v>
      </c>
    </row>
    <row r="7" customFormat="false" ht="39.75" hidden="false" customHeight="true" outlineLevel="0" collapsed="false">
      <c r="A7" s="4" t="n">
        <v>3</v>
      </c>
      <c r="B7" s="4" t="s">
        <v>12</v>
      </c>
      <c r="C7" s="4" t="s">
        <v>22</v>
      </c>
      <c r="D7" s="4" t="s">
        <v>23</v>
      </c>
      <c r="E7" s="4" t="s">
        <v>15</v>
      </c>
      <c r="F7" s="4" t="s">
        <v>24</v>
      </c>
      <c r="G7" s="4" t="s">
        <v>25</v>
      </c>
      <c r="H7" s="4" t="s">
        <v>26</v>
      </c>
      <c r="I7" s="4" t="s">
        <v>27</v>
      </c>
      <c r="J7" s="4" t="s">
        <v>19</v>
      </c>
    </row>
    <row r="8" customFormat="false" ht="39.75" hidden="false" customHeight="true" outlineLevel="0" collapsed="false">
      <c r="A8" s="5" t="n">
        <v>4</v>
      </c>
      <c r="B8" s="5" t="s">
        <v>12</v>
      </c>
      <c r="C8" s="5" t="s">
        <v>28</v>
      </c>
      <c r="D8" s="5" t="s">
        <v>29</v>
      </c>
      <c r="E8" s="5" t="s">
        <v>15</v>
      </c>
      <c r="F8" s="5" t="s">
        <v>30</v>
      </c>
      <c r="G8" s="5" t="s">
        <v>17</v>
      </c>
      <c r="H8" s="5" t="s">
        <v>17</v>
      </c>
      <c r="I8" s="5" t="s">
        <v>31</v>
      </c>
      <c r="J8" s="5" t="s">
        <v>32</v>
      </c>
    </row>
    <row r="9" customFormat="false" ht="39.75" hidden="false" customHeight="true" outlineLevel="0" collapsed="false">
      <c r="A9" s="4" t="n">
        <v>5</v>
      </c>
      <c r="B9" s="4" t="s">
        <v>12</v>
      </c>
      <c r="C9" s="4" t="s">
        <v>13</v>
      </c>
      <c r="D9" s="4" t="s">
        <v>33</v>
      </c>
      <c r="E9" s="4" t="s">
        <v>15</v>
      </c>
      <c r="F9" s="4" t="s">
        <v>34</v>
      </c>
      <c r="G9" s="4" t="s">
        <v>35</v>
      </c>
      <c r="H9" s="4" t="s">
        <v>36</v>
      </c>
      <c r="I9" s="4" t="s">
        <v>37</v>
      </c>
      <c r="J9" s="4" t="s">
        <v>38</v>
      </c>
    </row>
    <row r="10" customFormat="false" ht="39.75" hidden="false" customHeight="true" outlineLevel="0" collapsed="false">
      <c r="A10" s="5" t="n">
        <v>6</v>
      </c>
      <c r="B10" s="5" t="s">
        <v>12</v>
      </c>
      <c r="C10" s="5" t="s">
        <v>13</v>
      </c>
      <c r="D10" s="5" t="s">
        <v>39</v>
      </c>
      <c r="E10" s="5" t="s">
        <v>15</v>
      </c>
      <c r="F10" s="5" t="s">
        <v>40</v>
      </c>
      <c r="G10" s="5" t="s">
        <v>41</v>
      </c>
      <c r="H10" s="5" t="s">
        <v>42</v>
      </c>
      <c r="I10" s="5" t="s">
        <v>43</v>
      </c>
      <c r="J10" s="5" t="s">
        <v>19</v>
      </c>
    </row>
    <row r="11" customFormat="false" ht="39.75" hidden="false" customHeight="true" outlineLevel="0" collapsed="false">
      <c r="A11" s="4" t="n">
        <v>7</v>
      </c>
      <c r="B11" s="4" t="s">
        <v>44</v>
      </c>
      <c r="C11" s="4" t="s">
        <v>28</v>
      </c>
      <c r="D11" s="4" t="s">
        <v>45</v>
      </c>
      <c r="E11" s="4" t="s">
        <v>15</v>
      </c>
      <c r="F11" s="4" t="s">
        <v>46</v>
      </c>
      <c r="G11" s="4" t="s">
        <v>47</v>
      </c>
      <c r="H11" s="4" t="s">
        <v>48</v>
      </c>
      <c r="I11" s="4" t="s">
        <v>49</v>
      </c>
      <c r="J11" s="4" t="s">
        <v>38</v>
      </c>
    </row>
    <row r="12" customFormat="false" ht="39.75" hidden="false" customHeight="true" outlineLevel="0" collapsed="false">
      <c r="A12" s="5" t="n">
        <v>8</v>
      </c>
      <c r="B12" s="5" t="s">
        <v>44</v>
      </c>
      <c r="C12" s="5" t="s">
        <v>22</v>
      </c>
      <c r="D12" s="5" t="s">
        <v>50</v>
      </c>
      <c r="E12" s="5" t="s">
        <v>15</v>
      </c>
      <c r="F12" s="5" t="s">
        <v>51</v>
      </c>
      <c r="G12" s="5" t="s">
        <v>17</v>
      </c>
      <c r="H12" s="5" t="s">
        <v>17</v>
      </c>
      <c r="I12" s="5" t="s">
        <v>18</v>
      </c>
      <c r="J12" s="5" t="s">
        <v>19</v>
      </c>
    </row>
    <row r="13" customFormat="false" ht="39.75" hidden="false" customHeight="true" outlineLevel="0" collapsed="false">
      <c r="A13" s="4" t="n">
        <v>9</v>
      </c>
      <c r="B13" s="4" t="s">
        <v>44</v>
      </c>
      <c r="C13" s="4" t="s">
        <v>28</v>
      </c>
      <c r="D13" s="4" t="s">
        <v>52</v>
      </c>
      <c r="E13" s="4" t="s">
        <v>15</v>
      </c>
      <c r="F13" s="4" t="s">
        <v>53</v>
      </c>
      <c r="G13" s="4" t="s">
        <v>17</v>
      </c>
      <c r="H13" s="4" t="s">
        <v>17</v>
      </c>
      <c r="I13" s="4" t="s">
        <v>54</v>
      </c>
      <c r="J13" s="4" t="s">
        <v>19</v>
      </c>
    </row>
    <row r="14" customFormat="false" ht="39.75" hidden="false" customHeight="true" outlineLevel="0" collapsed="false">
      <c r="A14" s="5" t="n">
        <v>10</v>
      </c>
      <c r="B14" s="5" t="s">
        <v>44</v>
      </c>
      <c r="C14" s="5" t="s">
        <v>22</v>
      </c>
      <c r="D14" s="5" t="s">
        <v>55</v>
      </c>
      <c r="E14" s="5" t="s">
        <v>15</v>
      </c>
      <c r="F14" s="5" t="s">
        <v>56</v>
      </c>
      <c r="G14" s="5" t="s">
        <v>17</v>
      </c>
      <c r="H14" s="5" t="s">
        <v>17</v>
      </c>
      <c r="I14" s="5" t="s">
        <v>57</v>
      </c>
      <c r="J14" s="5" t="s">
        <v>38</v>
      </c>
    </row>
    <row r="15" customFormat="false" ht="39.75" hidden="false" customHeight="true" outlineLevel="0" collapsed="false">
      <c r="A15" s="4" t="n">
        <v>11</v>
      </c>
      <c r="B15" s="4" t="s">
        <v>44</v>
      </c>
      <c r="C15" s="4" t="s">
        <v>22</v>
      </c>
      <c r="D15" s="4" t="s">
        <v>58</v>
      </c>
      <c r="E15" s="4" t="s">
        <v>15</v>
      </c>
      <c r="F15" s="4" t="s">
        <v>59</v>
      </c>
      <c r="G15" s="4" t="s">
        <v>17</v>
      </c>
      <c r="H15" s="4" t="s">
        <v>17</v>
      </c>
      <c r="I15" s="4" t="s">
        <v>60</v>
      </c>
      <c r="J15" s="4" t="s">
        <v>19</v>
      </c>
    </row>
    <row r="16" customFormat="false" ht="39.75" hidden="false" customHeight="true" outlineLevel="0" collapsed="false">
      <c r="A16" s="5" t="n">
        <v>12</v>
      </c>
      <c r="B16" s="5" t="s">
        <v>44</v>
      </c>
      <c r="C16" s="5" t="s">
        <v>22</v>
      </c>
      <c r="D16" s="5" t="s">
        <v>61</v>
      </c>
      <c r="E16" s="5" t="s">
        <v>15</v>
      </c>
      <c r="F16" s="5" t="s">
        <v>62</v>
      </c>
      <c r="G16" s="5" t="s">
        <v>63</v>
      </c>
      <c r="H16" s="5" t="s">
        <v>64</v>
      </c>
      <c r="I16" s="5" t="s">
        <v>65</v>
      </c>
      <c r="J16" s="5" t="s">
        <v>38</v>
      </c>
    </row>
    <row r="17" customFormat="false" ht="39.75" hidden="false" customHeight="true" outlineLevel="0" collapsed="false">
      <c r="A17" s="4" t="n">
        <v>13</v>
      </c>
      <c r="B17" s="4" t="s">
        <v>44</v>
      </c>
      <c r="C17" s="4" t="s">
        <v>22</v>
      </c>
      <c r="D17" s="4" t="s">
        <v>66</v>
      </c>
      <c r="E17" s="4" t="s">
        <v>15</v>
      </c>
      <c r="F17" s="4" t="s">
        <v>67</v>
      </c>
      <c r="G17" s="4" t="s">
        <v>68</v>
      </c>
      <c r="H17" s="4" t="s">
        <v>69</v>
      </c>
      <c r="I17" s="4" t="s">
        <v>70</v>
      </c>
      <c r="J17" s="4" t="s">
        <v>19</v>
      </c>
    </row>
    <row r="18" customFormat="false" ht="39.75" hidden="false" customHeight="true" outlineLevel="0" collapsed="false">
      <c r="A18" s="5" t="n">
        <v>14</v>
      </c>
      <c r="B18" s="5" t="s">
        <v>44</v>
      </c>
      <c r="C18" s="5" t="s">
        <v>22</v>
      </c>
      <c r="D18" s="5" t="s">
        <v>71</v>
      </c>
      <c r="E18" s="5" t="s">
        <v>15</v>
      </c>
      <c r="F18" s="5" t="s">
        <v>72</v>
      </c>
      <c r="G18" s="5" t="s">
        <v>73</v>
      </c>
      <c r="H18" s="5" t="s">
        <v>74</v>
      </c>
      <c r="I18" s="5" t="s">
        <v>75</v>
      </c>
      <c r="J18" s="5" t="s">
        <v>19</v>
      </c>
    </row>
    <row r="19" customFormat="false" ht="39.75" hidden="false" customHeight="true" outlineLevel="0" collapsed="false">
      <c r="A19" s="4" t="n">
        <v>15</v>
      </c>
      <c r="B19" s="4" t="s">
        <v>44</v>
      </c>
      <c r="C19" s="4" t="s">
        <v>22</v>
      </c>
      <c r="D19" s="4" t="s">
        <v>76</v>
      </c>
      <c r="E19" s="4" t="s">
        <v>15</v>
      </c>
      <c r="F19" s="4" t="s">
        <v>77</v>
      </c>
      <c r="G19" s="4" t="s">
        <v>78</v>
      </c>
      <c r="H19" s="4" t="s">
        <v>79</v>
      </c>
      <c r="I19" s="4" t="s">
        <v>80</v>
      </c>
      <c r="J19" s="4" t="s">
        <v>19</v>
      </c>
    </row>
    <row r="20" customFormat="false" ht="39.75" hidden="false" customHeight="true" outlineLevel="0" collapsed="false">
      <c r="A20" s="5" t="n">
        <v>16</v>
      </c>
      <c r="B20" s="5" t="s">
        <v>44</v>
      </c>
      <c r="C20" s="5" t="s">
        <v>13</v>
      </c>
      <c r="D20" s="5" t="s">
        <v>81</v>
      </c>
      <c r="E20" s="5" t="s">
        <v>15</v>
      </c>
      <c r="F20" s="5" t="s">
        <v>82</v>
      </c>
      <c r="G20" s="5" t="s">
        <v>83</v>
      </c>
      <c r="H20" s="5" t="s">
        <v>84</v>
      </c>
      <c r="I20" s="5" t="s">
        <v>85</v>
      </c>
      <c r="J20" s="5" t="s">
        <v>19</v>
      </c>
    </row>
    <row r="21" customFormat="false" ht="39.75" hidden="false" customHeight="true" outlineLevel="0" collapsed="false">
      <c r="A21" s="4" t="n">
        <v>17</v>
      </c>
      <c r="B21" s="4" t="s">
        <v>44</v>
      </c>
      <c r="C21" s="4" t="s">
        <v>13</v>
      </c>
      <c r="D21" s="4" t="s">
        <v>86</v>
      </c>
      <c r="E21" s="4" t="s">
        <v>15</v>
      </c>
      <c r="F21" s="4" t="s">
        <v>87</v>
      </c>
      <c r="G21" s="4" t="s">
        <v>88</v>
      </c>
      <c r="H21" s="4" t="s">
        <v>89</v>
      </c>
      <c r="I21" s="4" t="s">
        <v>90</v>
      </c>
      <c r="J21" s="4" t="s">
        <v>38</v>
      </c>
    </row>
    <row r="22" customFormat="false" ht="39.75" hidden="false" customHeight="true" outlineLevel="0" collapsed="false">
      <c r="A22" s="5" t="n">
        <v>18</v>
      </c>
      <c r="B22" s="5" t="s">
        <v>44</v>
      </c>
      <c r="C22" s="5" t="s">
        <v>22</v>
      </c>
      <c r="D22" s="5" t="s">
        <v>91</v>
      </c>
      <c r="E22" s="5" t="s">
        <v>92</v>
      </c>
      <c r="F22" s="5" t="s">
        <v>93</v>
      </c>
      <c r="G22" s="5" t="s">
        <v>94</v>
      </c>
      <c r="H22" s="5" t="s">
        <v>95</v>
      </c>
      <c r="I22" s="5" t="s">
        <v>96</v>
      </c>
      <c r="J22" s="5" t="s">
        <v>19</v>
      </c>
    </row>
    <row r="23" customFormat="false" ht="39.75" hidden="false" customHeight="true" outlineLevel="0" collapsed="false">
      <c r="A23" s="4" t="n">
        <v>19</v>
      </c>
      <c r="B23" s="4" t="s">
        <v>97</v>
      </c>
      <c r="C23" s="4" t="s">
        <v>22</v>
      </c>
      <c r="D23" s="4" t="s">
        <v>98</v>
      </c>
      <c r="E23" s="4" t="s">
        <v>15</v>
      </c>
      <c r="F23" s="4" t="s">
        <v>99</v>
      </c>
      <c r="G23" s="4" t="s">
        <v>17</v>
      </c>
      <c r="H23" s="4" t="s">
        <v>17</v>
      </c>
      <c r="I23" s="4" t="s">
        <v>100</v>
      </c>
      <c r="J23" s="4" t="s">
        <v>38</v>
      </c>
    </row>
    <row r="24" customFormat="false" ht="39.75" hidden="false" customHeight="true" outlineLevel="0" collapsed="false">
      <c r="A24" s="5" t="n">
        <v>20</v>
      </c>
      <c r="B24" s="5" t="s">
        <v>97</v>
      </c>
      <c r="C24" s="5" t="s">
        <v>22</v>
      </c>
      <c r="D24" s="5" t="s">
        <v>101</v>
      </c>
      <c r="E24" s="5" t="s">
        <v>15</v>
      </c>
      <c r="F24" s="5" t="s">
        <v>102</v>
      </c>
      <c r="G24" s="5" t="s">
        <v>103</v>
      </c>
      <c r="H24" s="5" t="s">
        <v>104</v>
      </c>
      <c r="I24" s="5" t="s">
        <v>105</v>
      </c>
      <c r="J24" s="5" t="s">
        <v>38</v>
      </c>
    </row>
    <row r="25" customFormat="false" ht="39.75" hidden="false" customHeight="true" outlineLevel="0" collapsed="false">
      <c r="A25" s="4" t="n">
        <v>21</v>
      </c>
      <c r="B25" s="4" t="s">
        <v>106</v>
      </c>
      <c r="C25" s="4" t="s">
        <v>22</v>
      </c>
      <c r="D25" s="4" t="s">
        <v>107</v>
      </c>
      <c r="E25" s="4" t="s">
        <v>15</v>
      </c>
      <c r="F25" s="4" t="s">
        <v>108</v>
      </c>
      <c r="G25" s="4" t="s">
        <v>17</v>
      </c>
      <c r="H25" s="4" t="s">
        <v>17</v>
      </c>
      <c r="I25" s="4" t="s">
        <v>109</v>
      </c>
      <c r="J25" s="4" t="s">
        <v>32</v>
      </c>
    </row>
    <row r="26" customFormat="false" ht="39.75" hidden="false" customHeight="true" outlineLevel="0" collapsed="false">
      <c r="A26" s="5" t="n">
        <v>22</v>
      </c>
      <c r="B26" s="5" t="s">
        <v>106</v>
      </c>
      <c r="C26" s="5" t="s">
        <v>13</v>
      </c>
      <c r="D26" s="5" t="s">
        <v>110</v>
      </c>
      <c r="E26" s="5" t="s">
        <v>15</v>
      </c>
      <c r="F26" s="5" t="s">
        <v>111</v>
      </c>
      <c r="G26" s="5" t="s">
        <v>17</v>
      </c>
      <c r="H26" s="5" t="s">
        <v>17</v>
      </c>
      <c r="I26" s="5" t="s">
        <v>112</v>
      </c>
      <c r="J26" s="5" t="s">
        <v>32</v>
      </c>
    </row>
    <row r="27" customFormat="false" ht="39.75" hidden="false" customHeight="true" outlineLevel="0" collapsed="false">
      <c r="A27" s="4" t="n">
        <v>23</v>
      </c>
      <c r="B27" s="4" t="s">
        <v>106</v>
      </c>
      <c r="C27" s="4" t="s">
        <v>13</v>
      </c>
      <c r="D27" s="4" t="s">
        <v>113</v>
      </c>
      <c r="E27" s="4" t="s">
        <v>92</v>
      </c>
      <c r="F27" s="4" t="s">
        <v>114</v>
      </c>
      <c r="G27" s="4" t="s">
        <v>115</v>
      </c>
      <c r="H27" s="4" t="s">
        <v>116</v>
      </c>
      <c r="I27" s="4" t="s">
        <v>117</v>
      </c>
      <c r="J27" s="4" t="s">
        <v>38</v>
      </c>
    </row>
    <row r="28" customFormat="false" ht="39.75" hidden="false" customHeight="true" outlineLevel="0" collapsed="false">
      <c r="A28" s="5" t="n">
        <v>24</v>
      </c>
      <c r="B28" s="5" t="s">
        <v>118</v>
      </c>
      <c r="C28" s="5" t="s">
        <v>13</v>
      </c>
      <c r="D28" s="5" t="s">
        <v>119</v>
      </c>
      <c r="E28" s="5" t="s">
        <v>15</v>
      </c>
      <c r="F28" s="5" t="s">
        <v>120</v>
      </c>
      <c r="G28" s="5" t="s">
        <v>121</v>
      </c>
      <c r="H28" s="5" t="s">
        <v>122</v>
      </c>
      <c r="I28" s="5" t="s">
        <v>123</v>
      </c>
      <c r="J28" s="5" t="s">
        <v>38</v>
      </c>
    </row>
    <row r="29" customFormat="false" ht="39.75" hidden="false" customHeight="true" outlineLevel="0" collapsed="false">
      <c r="A29" s="4" t="n">
        <v>25</v>
      </c>
      <c r="B29" s="4" t="s">
        <v>118</v>
      </c>
      <c r="C29" s="4" t="s">
        <v>13</v>
      </c>
      <c r="D29" s="4" t="s">
        <v>124</v>
      </c>
      <c r="E29" s="4" t="s">
        <v>92</v>
      </c>
      <c r="F29" s="4" t="s">
        <v>125</v>
      </c>
      <c r="G29" s="4" t="s">
        <v>126</v>
      </c>
      <c r="H29" s="4" t="s">
        <v>127</v>
      </c>
      <c r="I29" s="4" t="s">
        <v>128</v>
      </c>
      <c r="J29" s="4" t="s">
        <v>19</v>
      </c>
    </row>
    <row r="30" customFormat="false" ht="39.75" hidden="false" customHeight="true" outlineLevel="0" collapsed="false">
      <c r="A30" s="5" t="n">
        <v>26</v>
      </c>
      <c r="B30" s="5" t="s">
        <v>118</v>
      </c>
      <c r="C30" s="5" t="s">
        <v>22</v>
      </c>
      <c r="D30" s="5" t="s">
        <v>129</v>
      </c>
      <c r="E30" s="5" t="s">
        <v>15</v>
      </c>
      <c r="F30" s="5" t="s">
        <v>130</v>
      </c>
      <c r="G30" s="5" t="s">
        <v>17</v>
      </c>
      <c r="H30" s="5" t="s">
        <v>17</v>
      </c>
      <c r="I30" s="5" t="s">
        <v>131</v>
      </c>
      <c r="J30" s="5" t="s">
        <v>19</v>
      </c>
    </row>
    <row r="31" customFormat="false" ht="39.75" hidden="false" customHeight="true" outlineLevel="0" collapsed="false">
      <c r="A31" s="4" t="n">
        <v>27</v>
      </c>
      <c r="B31" s="4" t="s">
        <v>118</v>
      </c>
      <c r="C31" s="4" t="s">
        <v>13</v>
      </c>
      <c r="D31" s="4" t="s">
        <v>132</v>
      </c>
      <c r="E31" s="4" t="s">
        <v>92</v>
      </c>
      <c r="F31" s="4" t="s">
        <v>133</v>
      </c>
      <c r="G31" s="4" t="s">
        <v>126</v>
      </c>
      <c r="H31" s="4" t="s">
        <v>134</v>
      </c>
      <c r="I31" s="4" t="s">
        <v>135</v>
      </c>
      <c r="J31" s="4" t="s">
        <v>19</v>
      </c>
    </row>
    <row r="32" customFormat="false" ht="39.75" hidden="false" customHeight="true" outlineLevel="0" collapsed="false">
      <c r="A32" s="5" t="n">
        <v>28</v>
      </c>
      <c r="B32" s="5" t="s">
        <v>136</v>
      </c>
      <c r="C32" s="5" t="s">
        <v>13</v>
      </c>
      <c r="D32" s="5" t="s">
        <v>137</v>
      </c>
      <c r="E32" s="5" t="s">
        <v>15</v>
      </c>
      <c r="F32" s="5" t="s">
        <v>138</v>
      </c>
      <c r="G32" s="5" t="s">
        <v>139</v>
      </c>
      <c r="H32" s="5" t="s">
        <v>140</v>
      </c>
      <c r="I32" s="5" t="s">
        <v>141</v>
      </c>
      <c r="J32" s="5" t="s">
        <v>38</v>
      </c>
    </row>
    <row r="33" customFormat="false" ht="39.75" hidden="false" customHeight="true" outlineLevel="0" collapsed="false">
      <c r="A33" s="4" t="n">
        <v>29</v>
      </c>
      <c r="B33" s="4" t="s">
        <v>136</v>
      </c>
      <c r="C33" s="4" t="s">
        <v>22</v>
      </c>
      <c r="D33" s="4" t="s">
        <v>142</v>
      </c>
      <c r="E33" s="4" t="s">
        <v>15</v>
      </c>
      <c r="F33" s="4" t="s">
        <v>143</v>
      </c>
      <c r="G33" s="4" t="s">
        <v>144</v>
      </c>
      <c r="H33" s="4" t="s">
        <v>145</v>
      </c>
      <c r="I33" s="4" t="s">
        <v>146</v>
      </c>
      <c r="J33" s="4" t="s">
        <v>19</v>
      </c>
    </row>
    <row r="34" customFormat="false" ht="39.75" hidden="false" customHeight="true" outlineLevel="0" collapsed="false">
      <c r="A34" s="5" t="n">
        <v>30</v>
      </c>
      <c r="B34" s="5" t="s">
        <v>136</v>
      </c>
      <c r="C34" s="5" t="s">
        <v>22</v>
      </c>
      <c r="D34" s="5" t="s">
        <v>147</v>
      </c>
      <c r="E34" s="5" t="s">
        <v>92</v>
      </c>
      <c r="F34" s="5" t="s">
        <v>148</v>
      </c>
      <c r="G34" s="5" t="s">
        <v>149</v>
      </c>
      <c r="H34" s="5" t="s">
        <v>150</v>
      </c>
      <c r="I34" s="5" t="s">
        <v>151</v>
      </c>
      <c r="J34" s="5" t="s">
        <v>19</v>
      </c>
    </row>
    <row r="35" customFormat="false" ht="39.75" hidden="false" customHeight="true" outlineLevel="0" collapsed="false">
      <c r="A35" s="4" t="n">
        <v>31</v>
      </c>
      <c r="B35" s="4" t="s">
        <v>136</v>
      </c>
      <c r="C35" s="4" t="s">
        <v>13</v>
      </c>
      <c r="D35" s="4" t="s">
        <v>152</v>
      </c>
      <c r="E35" s="4" t="s">
        <v>15</v>
      </c>
      <c r="F35" s="4" t="s">
        <v>153</v>
      </c>
      <c r="G35" s="4" t="s">
        <v>17</v>
      </c>
      <c r="H35" s="4" t="s">
        <v>17</v>
      </c>
      <c r="I35" s="4" t="s">
        <v>154</v>
      </c>
      <c r="J35" s="4" t="s">
        <v>19</v>
      </c>
    </row>
    <row r="37" customFormat="false" ht="15" hidden="false" customHeight="false" outlineLevel="0" collapsed="false">
      <c r="A37" s="6" t="s">
        <v>155</v>
      </c>
    </row>
    <row r="38" customFormat="false" ht="15" hidden="false" customHeight="false" outlineLevel="0" collapsed="false">
      <c r="A38" s="7" t="s">
        <v>156</v>
      </c>
      <c r="B38" s="8" t="n">
        <f aca="false">COUNTA(D5:D35)</f>
        <v>31</v>
      </c>
    </row>
    <row r="39" customFormat="false" ht="15" hidden="false" customHeight="false" outlineLevel="0" collapsed="false">
      <c r="A39" s="7" t="s">
        <v>15</v>
      </c>
      <c r="B39" s="8" t="n">
        <f aca="false">COUNTIF(E5:E35,"Have")</f>
        <v>26</v>
      </c>
    </row>
    <row r="40" customFormat="false" ht="15" hidden="false" customHeight="false" outlineLevel="0" collapsed="false">
      <c r="A40" s="7" t="s">
        <v>92</v>
      </c>
      <c r="B40" s="8" t="n">
        <f aca="false">COUNTIF(E5:E35,"Partial")</f>
        <v>5</v>
      </c>
    </row>
    <row r="41" customFormat="false" ht="15" hidden="false" customHeight="false" outlineLevel="0" collapsed="false">
      <c r="A41" s="7" t="s">
        <v>157</v>
      </c>
      <c r="B41" s="8" t="n">
        <f aca="false">COUNTIF(E5:E35,"Gap")</f>
        <v>0</v>
      </c>
    </row>
    <row r="42" customFormat="false" ht="15" hidden="false" customHeight="false" outlineLevel="0" collapsed="false">
      <c r="A42" s="7" t="s">
        <v>158</v>
      </c>
      <c r="B42" s="8" t="n">
        <f aca="false">COUNTIF(J5:J35,"P1")</f>
        <v>3</v>
      </c>
    </row>
    <row r="43" customFormat="false" ht="15" hidden="false" customHeight="false" outlineLevel="0" collapsed="false">
      <c r="A43" s="7" t="s">
        <v>38</v>
      </c>
      <c r="B43" s="8" t="n">
        <f aca="false">COUNTIF(J5:J35,"P2")</f>
        <v>10</v>
      </c>
    </row>
  </sheetData>
  <conditionalFormatting sqref="E5:E35">
    <cfRule type="cellIs" priority="2" operator="equal" aboveAverage="0" equalAverage="0" bottom="0" percent="0" rank="0" text="" dxfId="0">
      <formula>"Have"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</conditionalFormatting>
  <conditionalFormatting sqref="J5:J35">
    <cfRule type="cellIs" priority="5" operator="equal" aboveAverage="0" equalAverage="0" bottom="0" percent="0" rank="0" text="" dxfId="2">
      <formula>"P1"</formula>
    </cfRule>
    <cfRule type="cellIs" priority="6" operator="equal" aboveAverage="0" equalAverage="0" bottom="0" percent="0" rank="0" text="" dxfId="3">
      <formula>"P2"</formula>
    </cfRule>
  </conditionalFormatting>
  <dataValidations count="2">
    <dataValidation allowBlank="true" errorStyle="stop" operator="between" showDropDown="false" showErrorMessage="false" showInputMessage="false" sqref="E5:E35" type="list">
      <formula1>"Have,Partial,Gap"</formula1>
      <formula2>0</formula2>
    </dataValidation>
    <dataValidation allowBlank="true" errorStyle="stop" operator="between" showDropDown="false" showErrorMessage="false" showInputMessage="false" sqref="J5:J35" type="list">
      <formula1>"P1,P2,P3"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2026-06-10T03:16:59Z</dcterms:created>
  <dc:creator>openpyxl</dc:creator>
  <dc:description/>
  <dc:language>en-US</dc:language>
  <cp:lastModifiedBy/>
  <dcterms:modified xsi:type="dcterms:W3CDTF">2026-06-10T03:33:46Z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