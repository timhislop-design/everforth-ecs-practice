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Capac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<sst xmlns="http://schemas.openxmlformats.org/spreadsheetml/2006/main" count="32" uniqueCount="27">
  <si>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 xml:space="preserve">CONNECTION - SPRINT PLAN &amp; CAPACITY MODEL</t>
  </si>
  <si>
    <t xml:space="preserve">Load = story points planned per sprint (config + delivery backlog). Set Capacity (pts) per sprint from team velocity; the model flags over-loaded sprints. Adjust scope/sequence before a sprint goes red.</t>
  </si>
  <si>
    <t xml:space="preserve">Sprint</t>
  </si>
  <si>
    <t xml:space="preserve">Stage</t>
  </si>
  <si>
    <t xml:space="preserve">Config Load (pts)</t>
  </si>
  <si>
    <t xml:space="preserve">Delivery Load (pts)</t>
  </si>
  <si>
    <t xml:space="preserve">Total Load (pts)</t>
  </si>
  <si>
    <t xml:space="preserve">Capacity (pts)</t>
  </si>
  <si>
    <t xml:space="preserve">Load vs Capacity</t>
  </si>
  <si>
    <t xml:space="preserve">Status</t>
  </si>
  <si>
    <t xml:space="preserve">Sprint 0</t>
  </si>
  <si>
    <t xml:space="preserve">Stage 1</t>
  </si>
  <si>
    <t xml:space="preserve">Sprint 1</t>
  </si>
  <si>
    <t xml:space="preserve">Sprint 2</t>
  </si>
  <si>
    <t xml:space="preserve">Sprint 3</t>
  </si>
  <si>
    <t xml:space="preserve">Stage 2</t>
  </si>
  <si>
    <t xml:space="preserve">Sprint 4</t>
  </si>
  <si>
    <t xml:space="preserve">Sprint 5</t>
  </si>
  <si>
    <t xml:space="preserve">Sprint 6</t>
  </si>
  <si>
    <t xml:space="preserve">Stage 3</t>
  </si>
  <si>
    <t xml:space="preserve">Sprint 7</t>
  </si>
  <si>
    <t xml:space="preserve">Sprint 8</t>
  </si>
  <si>
    <t xml:space="preserve">Stage 4</t>
  </si>
  <si>
    <t xml:space="preserve">Ongoing / All</t>
  </si>
  <si>
    <t xml:space="preserve">All</t>
  </si>
  <si>
    <t xml:space="preserve">TOTAL</t>
  </si>
  <si>
    <t xml:space="preserve">Capacity (blue) is editable: set from team size x velocity. OVER = load exceeds capacity (rebalance); TIGHT = &gt;85%.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</si>
</sst>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0B1F3A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47556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n">
        <v>0</v>
      </c>
      <c r="D5" s="5" t="n">
        <v>24</v>
      </c>
      <c r="E5" s="6" t="n">
        <f aca="false">C5+D5</f>
        <v>24</v>
      </c>
      <c r="F5" s="7" t="n">
        <v>15</v>
      </c>
      <c r="G5" s="8" t="n">
        <f aca="false">IF(F5=0,"-",E5/F5)</f>
        <v>1.6</v>
      </c>
      <c r="H5" s="4" t="str">
        <f aca="false">IF(F5=0,"n/a",IF(E5&gt;F5,"OVER",IF(E5&gt;0.85*F5,"TIGHT","OK")))</f>
        <v>OVER</v>
      </c>
    </row>
    <row r="6" customFormat="false" ht="15" hidden="false" customHeight="false" outlineLevel="0" collapsed="false">
      <c r="A6" s="9" t="s">
        <v>12</v>
      </c>
      <c r="B6" s="10" t="s">
        <v>11</v>
      </c>
      <c r="C6" s="10" t="n">
        <v>53</v>
      </c>
      <c r="D6" s="10" t="n">
        <v>4</v>
      </c>
      <c r="E6" s="11" t="n">
        <f aca="false">C6+D6</f>
        <v>57</v>
      </c>
      <c r="F6" s="12" t="n">
        <v>30</v>
      </c>
      <c r="G6" s="13" t="n">
        <f aca="false">IF(F6=0,"-",E6/F6)</f>
        <v>1.9</v>
      </c>
      <c r="H6" s="9" t="str">
        <f aca="false">IF(F6=0,"n/a",IF(E6&gt;F6,"OVER",IF(E6&gt;0.85*F6,"TIGHT","OK")))</f>
        <v>OVER</v>
      </c>
    </row>
    <row r="7" customFormat="false" ht="15" hidden="false" customHeight="false" outlineLevel="0" collapsed="false">
      <c r="A7" s="4" t="s">
        <v>13</v>
      </c>
      <c r="B7" s="5" t="s">
        <v>11</v>
      </c>
      <c r="C7" s="5" t="n">
        <v>42</v>
      </c>
      <c r="D7" s="5" t="n">
        <v>10</v>
      </c>
      <c r="E7" s="6" t="n">
        <f aca="false">C7+D7</f>
        <v>52</v>
      </c>
      <c r="F7" s="7" t="n">
        <v>30</v>
      </c>
      <c r="G7" s="8" t="n">
        <f aca="false">IF(F7=0,"-",E7/F7)</f>
        <v>1.73333333333333</v>
      </c>
      <c r="H7" s="4" t="str">
        <f aca="false">IF(F7=0,"n/a",IF(E7&gt;F7,"OVER",IF(E7&gt;0.85*F7,"TIGHT","OK")))</f>
        <v>OVER</v>
      </c>
    </row>
    <row r="8" customFormat="false" ht="15" hidden="false" customHeight="false" outlineLevel="0" collapsed="false">
      <c r="A8" s="9" t="s">
        <v>14</v>
      </c>
      <c r="B8" s="10" t="s">
        <v>15</v>
      </c>
      <c r="C8" s="10" t="n">
        <v>78</v>
      </c>
      <c r="D8" s="10" t="n">
        <v>4</v>
      </c>
      <c r="E8" s="11" t="n">
        <f aca="false">C8+D8</f>
        <v>82</v>
      </c>
      <c r="F8" s="12" t="n">
        <v>30</v>
      </c>
      <c r="G8" s="13" t="n">
        <f aca="false">IF(F8=0,"-",E8/F8)</f>
        <v>2.73333333333333</v>
      </c>
      <c r="H8" s="9" t="str">
        <f aca="false">IF(F8=0,"n/a",IF(E8&gt;F8,"OVER",IF(E8&gt;0.85*F8,"TIGHT","OK")))</f>
        <v>OVER</v>
      </c>
    </row>
    <row r="9" customFormat="false" ht="15" hidden="false" customHeight="false" outlineLevel="0" collapsed="false">
      <c r="A9" s="4" t="s">
        <v>16</v>
      </c>
      <c r="B9" s="5" t="s">
        <v>15</v>
      </c>
      <c r="C9" s="5" t="n">
        <v>81</v>
      </c>
      <c r="D9" s="5" t="n">
        <v>9</v>
      </c>
      <c r="E9" s="6" t="n">
        <f aca="false">C9+D9</f>
        <v>90</v>
      </c>
      <c r="F9" s="7" t="n">
        <v>30</v>
      </c>
      <c r="G9" s="8" t="n">
        <f aca="false">IF(F9=0,"-",E9/F9)</f>
        <v>3</v>
      </c>
      <c r="H9" s="4" t="str">
        <f aca="false">IF(F9=0,"n/a",IF(E9&gt;F9,"OVER",IF(E9&gt;0.85*F9,"TIGHT","OK")))</f>
        <v>OVER</v>
      </c>
    </row>
    <row r="10" customFormat="false" ht="15" hidden="false" customHeight="false" outlineLevel="0" collapsed="false">
      <c r="A10" s="9" t="s">
        <v>17</v>
      </c>
      <c r="B10" s="10" t="s">
        <v>15</v>
      </c>
      <c r="C10" s="10" t="n">
        <v>68</v>
      </c>
      <c r="D10" s="10" t="n">
        <v>6</v>
      </c>
      <c r="E10" s="11" t="n">
        <f aca="false">C10+D10</f>
        <v>74</v>
      </c>
      <c r="F10" s="12" t="n">
        <v>30</v>
      </c>
      <c r="G10" s="13" t="n">
        <f aca="false">IF(F10=0,"-",E10/F10)</f>
        <v>2.46666666666667</v>
      </c>
      <c r="H10" s="9" t="str">
        <f aca="false">IF(F10=0,"n/a",IF(E10&gt;F10,"OVER",IF(E10&gt;0.85*F10,"TIGHT","OK")))</f>
        <v>OVER</v>
      </c>
    </row>
    <row r="11" customFormat="false" ht="15" hidden="false" customHeight="false" outlineLevel="0" collapsed="false">
      <c r="A11" s="4" t="s">
        <v>18</v>
      </c>
      <c r="B11" s="5" t="s">
        <v>19</v>
      </c>
      <c r="C11" s="5" t="n">
        <v>33</v>
      </c>
      <c r="D11" s="5" t="n">
        <v>14</v>
      </c>
      <c r="E11" s="6" t="n">
        <f aca="false">C11+D11</f>
        <v>47</v>
      </c>
      <c r="F11" s="7" t="n">
        <v>30</v>
      </c>
      <c r="G11" s="8" t="n">
        <f aca="false">IF(F11=0,"-",E11/F11)</f>
        <v>1.56666666666667</v>
      </c>
      <c r="H11" s="4" t="str">
        <f aca="false">IF(F11=0,"n/a",IF(E11&gt;F11,"OVER",IF(E11&gt;0.85*F11,"TIGHT","OK")))</f>
        <v>OVER</v>
      </c>
    </row>
    <row r="12" customFormat="false" ht="15" hidden="false" customHeight="false" outlineLevel="0" collapsed="false">
      <c r="A12" s="9" t="s">
        <v>20</v>
      </c>
      <c r="B12" s="10" t="s">
        <v>19</v>
      </c>
      <c r="C12" s="10" t="n">
        <v>0</v>
      </c>
      <c r="D12" s="10" t="n">
        <v>26</v>
      </c>
      <c r="E12" s="11" t="n">
        <f aca="false">C12+D12</f>
        <v>26</v>
      </c>
      <c r="F12" s="12" t="n">
        <v>30</v>
      </c>
      <c r="G12" s="13" t="n">
        <f aca="false">IF(F12=0,"-",E12/F12)</f>
        <v>0.866666666666667</v>
      </c>
      <c r="H12" s="9" t="str">
        <f aca="false">IF(F12=0,"n/a",IF(E12&gt;F12,"OVER",IF(E12&gt;0.85*F12,"TIGHT","OK")))</f>
        <v>TIGHT</v>
      </c>
    </row>
    <row r="13" customFormat="false" ht="15" hidden="false" customHeight="false" outlineLevel="0" collapsed="false">
      <c r="A13" s="4" t="s">
        <v>21</v>
      </c>
      <c r="B13" s="5" t="s">
        <v>22</v>
      </c>
      <c r="C13" s="5" t="n">
        <v>0</v>
      </c>
      <c r="D13" s="5" t="n">
        <v>11</v>
      </c>
      <c r="E13" s="6" t="n">
        <f aca="false">C13+D13</f>
        <v>11</v>
      </c>
      <c r="F13" s="7" t="n">
        <v>15</v>
      </c>
      <c r="G13" s="8" t="n">
        <f aca="false">IF(F13=0,"-",E13/F13)</f>
        <v>0.733333333333333</v>
      </c>
      <c r="H13" s="4" t="str">
        <f aca="false">IF(F13=0,"n/a",IF(E13&gt;F13,"OVER",IF(E13&gt;0.85*F13,"TIGHT","OK")))</f>
        <v>OK</v>
      </c>
    </row>
    <row r="14" customFormat="false" ht="15" hidden="false" customHeight="false" outlineLevel="0" collapsed="false">
      <c r="A14" s="9" t="s">
        <v>23</v>
      </c>
      <c r="B14" s="10" t="s">
        <v>24</v>
      </c>
      <c r="C14" s="10" t="n">
        <v>0</v>
      </c>
      <c r="D14" s="10" t="n">
        <v>23</v>
      </c>
      <c r="E14" s="11" t="n">
        <f aca="false">C14+D14</f>
        <v>23</v>
      </c>
      <c r="F14" s="12" t="n">
        <v>0</v>
      </c>
      <c r="G14" s="13" t="str">
        <f aca="false">IF(F14=0,"-",E14/F14)</f>
        <v>-</v>
      </c>
      <c r="H14" s="9" t="str">
        <f aca="false">IF(F14=0,"n/a",IF(E14&gt;F14,"OVER",IF(E14&gt;0.85*F14,"TIGHT","OK")))</f>
        <v>n/a</v>
      </c>
    </row>
    <row r="15" customFormat="false" ht="15" hidden="false" customHeight="false" outlineLevel="0" collapsed="false">
      <c r="A15" s="14" t="s">
        <v>25</v>
      </c>
      <c r="C15" s="14" t="n">
        <f aca="false">SUM(C5:C14)</f>
        <v>355</v>
      </c>
      <c r="D15" s="14" t="n">
        <f aca="false">SUM(D5:D14)</f>
        <v>131</v>
      </c>
      <c r="E15" s="14" t="n">
        <f aca="false">SUM(E5:E14)</f>
        <v>486</v>
      </c>
      <c r="F15" s="14" t="n">
        <f aca="false">SUM(F5:F14)</f>
        <v>240</v>
      </c>
    </row>
    <row r="17" customFormat="false" ht="15" hidden="false" customHeight="false" outlineLevel="0" collapsed="false">
      <c r="A17" s="15" t="s">
        <v>26</v>
      </c>
    </row>
  </sheetData>
  <conditionalFormatting sqref="H5:H14">
    <cfRule type="cellIs" priority="2" operator="equal" aboveAverage="0" equalAverage="0" bottom="0" percent="0" rank="0" text="" dxfId="0">
      <formula>"OVER"</formula>
    </cfRule>
    <cfRule type="cellIs" priority="3" operator="equal" aboveAverage="0" equalAverage="0" bottom="0" percent="0" rank="0" text="" dxfId="1">
      <formula>"TIGHT"</formula>
    </cfRule>
    <cfRule type="cellIs" priority="4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2026-06-10T03:21:17Z</dcterms:created>
  <dc:creator>openpyxl</dc:creator>
  <dc:description/>
  <dc:language>en-US</dc:language>
  <cp:lastModifiedBy/>
  <dcterms:modified xsi:type="dcterms:W3CDTF">2026-06-10T03:21:17Z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