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Dependenc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<sst xmlns="http://schemas.openxmlformats.org/spreadsheetml/2006/main" count="161" uniqueCount="105">
  <si>
    <t xml:space="preserve">CONNECTION - CUSTOMER RESPONSIBILITIES &amp; DEPENDENCY TRACKER</t>
  </si>
  <si>
    <t xml:space="preserve">Operationalizes SOW v2.0 Section 6. These are structural dependencies that GATE ECS's ability to build on schedule. ECS flags each milestone in advance; at-risk items are jointly assessed and logged in the sprint workbook before they become a delay.</t>
  </si>
  <si>
    <t xml:space="preserve">ID</t>
  </si>
  <si>
    <t xml:space="preserve">Dependency</t>
  </si>
  <si>
    <t xml:space="preserve">Type</t>
  </si>
  <si>
    <t xml:space="preserve">Connection Owner</t>
  </si>
  <si>
    <t xml:space="preserve">Due / Timing Rule</t>
  </si>
  <si>
    <t xml:space="preserve">Target Sprint</t>
  </si>
  <si>
    <t xml:space="preserve">Status</t>
  </si>
  <si>
    <t xml:space="preserve">Impact if Late</t>
  </si>
  <si>
    <t xml:space="preserve">Notes / Date</t>
  </si>
  <si>
    <t xml:space="preserve">DEP-01</t>
  </si>
  <si>
    <t xml:space="preserve">Foundation Accelerator Pack workbooks completed (users, locations, departments, groups, assignment rules, schedules, SLAs)</t>
  </si>
  <si>
    <t xml:space="preserve">Pre-Build</t>
  </si>
  <si>
    <t xml:space="preserve">Connection PM + SMEs</t>
  </si>
  <si>
    <t xml:space="preserve">Due 1 week before each in-scope execution sprint</t>
  </si>
  <si>
    <t xml:space="preserve">Sprint 0-1</t>
  </si>
  <si>
    <t xml:space="preserve">Not Started</t>
  </si>
  <si>
    <t xml:space="preserve">Build cannot start; sprint slips</t>
  </si>
  <si>
    <t xml:space="preserve">ECS provides templates</t>
  </si>
  <si>
    <t xml:space="preserve">DEP-02</t>
  </si>
  <si>
    <t xml:space="preserve">SSO/AD configuration details + technical SME access for integration review</t>
  </si>
  <si>
    <t xml:space="preserve">Technical Lead</t>
  </si>
  <si>
    <t xml:space="preserve">Sprint 0</t>
  </si>
  <si>
    <t xml:space="preserve">SSO/AD config blocked; access issues at go-live</t>
  </si>
  <si>
    <t xml:space="preserve">DEP-03</t>
  </si>
  <si>
    <t xml:space="preserve">Licenses procured; dev/test environments provisioned with ECS admin access</t>
  </si>
  <si>
    <t xml:space="preserve">IT / Procurement</t>
  </si>
  <si>
    <t xml:space="preserve">No environment to build in</t>
  </si>
  <si>
    <t xml:space="preserve">Structural gate</t>
  </si>
  <si>
    <t xml:space="preserve">DEP-04</t>
  </si>
  <si>
    <t xml:space="preserve">MID Server(s) configured and validated</t>
  </si>
  <si>
    <t xml:space="preserve">By end of Sprint 0</t>
  </si>
  <si>
    <t xml:space="preserve">Discovery/integrations blocked; possible added cost</t>
  </si>
  <si>
    <t xml:space="preserve">SOW: avoid delays/costs</t>
  </si>
  <si>
    <t xml:space="preserve">DEP-05</t>
  </si>
  <si>
    <t xml:space="preserve">Complete IP Range Sets documented for Discovery schedules</t>
  </si>
  <si>
    <t xml:space="preserve">Sprint 0-2</t>
  </si>
  <si>
    <t xml:space="preserve">Sprint 2</t>
  </si>
  <si>
    <t xml:space="preserve">Discovery cannot run / incomplete CMDB</t>
  </si>
  <si>
    <t xml:space="preserve">DEP-06</t>
  </si>
  <si>
    <t xml:space="preserve">Named Product Owner with acceptance authority</t>
  </si>
  <si>
    <t xml:space="preserve">Executive Sponsor</t>
  </si>
  <si>
    <t xml:space="preserve">No one to accept stories; 3-day clock cannot run</t>
  </si>
  <si>
    <t xml:space="preserve">Single empowered decision-maker</t>
  </si>
  <si>
    <t xml:space="preserve">DEP-07</t>
  </si>
  <si>
    <t xml:space="preserve">Named SMEs per process area (ITSM, Catalog, CMDB/Discovery, Integrations, Employee Experience)</t>
  </si>
  <si>
    <t xml:space="preserve">Connection PM</t>
  </si>
  <si>
    <t xml:space="preserve">Workshops cannot be scheduled/decided</t>
  </si>
  <si>
    <t xml:space="preserve">DEP-08</t>
  </si>
  <si>
    <t xml:space="preserve">Executive Sponsor confirmed and available for governance cadence (bi-weekly, 45 min)</t>
  </si>
  <si>
    <t xml:space="preserve">Sprint 0 onward</t>
  </si>
  <si>
    <t xml:space="preserve">Governance and escalation stall</t>
  </si>
  <si>
    <t xml:space="preserve">DEP-09</t>
  </si>
  <si>
    <t xml:space="preserve">SME availability for workshops and validation sessions as scheduled</t>
  </si>
  <si>
    <t xml:space="preserve">Ongoing</t>
  </si>
  <si>
    <t xml:space="preserve">Per ECS/PM schedule</t>
  </si>
  <si>
    <t xml:space="preserve">All sprints</t>
  </si>
  <si>
    <t xml:space="preserve">Cold/late workshops; rework</t>
  </si>
  <si>
    <t xml:space="preserve">DEP-10</t>
  </si>
  <si>
    <t xml:space="preserve">User story acceptance decisions within 3 business days of demo</t>
  </si>
  <si>
    <t xml:space="preserve">Product Owner</t>
  </si>
  <si>
    <t xml:space="preserve">3 business days post-demo</t>
  </si>
  <si>
    <t xml:space="preserve">Stories pushed to backlog; may trigger a PCR</t>
  </si>
  <si>
    <t xml:space="preserve">SOW-defined window</t>
  </si>
  <si>
    <t xml:space="preserve">DEP-11</t>
  </si>
  <si>
    <t xml:space="preserve">Governance Triage Log review and disposition within 5 business days</t>
  </si>
  <si>
    <t xml:space="preserve">5 business days post-submission</t>
  </si>
  <si>
    <t xml:space="preserve">Deviations unresolved; build blocked</t>
  </si>
  <si>
    <t xml:space="preserve">DEP-12</t>
  </si>
  <si>
    <t xml:space="preserve">Data quality ownership (accuracy/completeness of Accelerator Pack data)</t>
  </si>
  <si>
    <t xml:space="preserve">Connection</t>
  </si>
  <si>
    <t xml:space="preserve">Continuous</t>
  </si>
  <si>
    <t xml:space="preserve">Bad data -&gt; rework, CMDB health miss</t>
  </si>
  <si>
    <t xml:space="preserve">DEP-13</t>
  </si>
  <si>
    <t xml:space="preserve">CAB members available for Change Management configuration workshops</t>
  </si>
  <si>
    <t xml:space="preserve">CAB Members</t>
  </si>
  <si>
    <t xml:space="preserve">Sprint 4</t>
  </si>
  <si>
    <t xml:space="preserve">Change/CAB config blocked</t>
  </si>
  <si>
    <t xml:space="preserve">DEP-14</t>
  </si>
  <si>
    <t xml:space="preserve">UAT testers assigned and available with sufficient platform knowledge</t>
  </si>
  <si>
    <t xml:space="preserve">UAT Lead</t>
  </si>
  <si>
    <t xml:space="preserve">UAT window (Sprint 6-7)</t>
  </si>
  <si>
    <t xml:space="preserve">Sprint 6-7</t>
  </si>
  <si>
    <t xml:space="preserve">UAT cannot complete; go-live at risk</t>
  </si>
  <si>
    <t xml:space="preserve">DEP-15</t>
  </si>
  <si>
    <t xml:space="preserve">End-user communication, change management, and adoption (beyond train-the-trainer)</t>
  </si>
  <si>
    <t xml:space="preserve">Sprint 7-8 onward</t>
  </si>
  <si>
    <t xml:space="preserve">Sprint 7-8</t>
  </si>
  <si>
    <t xml:space="preserve">Low adoption; value not realized</t>
  </si>
  <si>
    <t xml:space="preserve">Customer-owned per SOW</t>
  </si>
  <si>
    <t xml:space="preserve">DEP-16</t>
  </si>
  <si>
    <t xml:space="preserve">Ongoing knowledge content creation and maintenance</t>
  </si>
  <si>
    <t xml:space="preserve">All / ongoing</t>
  </si>
  <si>
    <t xml:space="preserve">Thin KB; weak deflection</t>
  </si>
  <si>
    <t xml:space="preserve">DEP-17</t>
  </si>
  <si>
    <t xml:space="preserve">Vonage-side integration tasks completed</t>
  </si>
  <si>
    <t xml:space="preserve">Connection / Vonage Admin</t>
  </si>
  <si>
    <t xml:space="preserve">Sprint 4 (with CTI build)</t>
  </si>
  <si>
    <t xml:space="preserve">CTI/phone channel not functional</t>
  </si>
  <si>
    <t xml:space="preserve">SUMMARY</t>
  </si>
  <si>
    <t xml:space="preserve">Total dependencies</t>
  </si>
  <si>
    <t xml:space="preserve">Complete</t>
  </si>
  <si>
    <t xml:space="preserve">In Progress</t>
  </si>
  <si>
    <t xml:space="preserve">At Risk / Blocked / Overdue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</si>
</sst>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9C3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4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3.7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33.75" hidden="false" customHeight="true" outlineLevel="0" collapsed="false">
      <c r="A6" s="5" t="s">
        <v>20</v>
      </c>
      <c r="B6" s="5" t="s">
        <v>21</v>
      </c>
      <c r="C6" s="5" t="s">
        <v>13</v>
      </c>
      <c r="D6" s="5" t="s">
        <v>22</v>
      </c>
      <c r="E6" s="5" t="s">
        <v>23</v>
      </c>
      <c r="F6" s="5" t="s">
        <v>23</v>
      </c>
      <c r="G6" s="5" t="s">
        <v>17</v>
      </c>
      <c r="H6" s="5" t="s">
        <v>24</v>
      </c>
      <c r="I6" s="5"/>
    </row>
    <row r="7" customFormat="false" ht="33.75" hidden="false" customHeight="true" outlineLevel="0" collapsed="false">
      <c r="A7" s="4" t="s">
        <v>25</v>
      </c>
      <c r="B7" s="4" t="s">
        <v>26</v>
      </c>
      <c r="C7" s="4" t="s">
        <v>13</v>
      </c>
      <c r="D7" s="4" t="s">
        <v>27</v>
      </c>
      <c r="E7" s="4" t="s">
        <v>23</v>
      </c>
      <c r="F7" s="4" t="s">
        <v>23</v>
      </c>
      <c r="G7" s="4" t="s">
        <v>17</v>
      </c>
      <c r="H7" s="4" t="s">
        <v>28</v>
      </c>
      <c r="I7" s="4" t="s">
        <v>29</v>
      </c>
    </row>
    <row r="8" customFormat="false" ht="33.75" hidden="false" customHeight="true" outlineLevel="0" collapsed="false">
      <c r="A8" s="5" t="s">
        <v>30</v>
      </c>
      <c r="B8" s="5" t="s">
        <v>31</v>
      </c>
      <c r="C8" s="5" t="s">
        <v>13</v>
      </c>
      <c r="D8" s="5" t="s">
        <v>22</v>
      </c>
      <c r="E8" s="5" t="s">
        <v>32</v>
      </c>
      <c r="F8" s="5" t="s">
        <v>23</v>
      </c>
      <c r="G8" s="5" t="s">
        <v>17</v>
      </c>
      <c r="H8" s="5" t="s">
        <v>33</v>
      </c>
      <c r="I8" s="5" t="s">
        <v>34</v>
      </c>
    </row>
    <row r="9" customFormat="false" ht="33.75" hidden="false" customHeight="true" outlineLevel="0" collapsed="false">
      <c r="A9" s="4" t="s">
        <v>35</v>
      </c>
      <c r="B9" s="4" t="s">
        <v>36</v>
      </c>
      <c r="C9" s="4" t="s">
        <v>13</v>
      </c>
      <c r="D9" s="4" t="s">
        <v>22</v>
      </c>
      <c r="E9" s="4" t="s">
        <v>37</v>
      </c>
      <c r="F9" s="4" t="s">
        <v>38</v>
      </c>
      <c r="G9" s="4" t="s">
        <v>17</v>
      </c>
      <c r="H9" s="4" t="s">
        <v>39</v>
      </c>
      <c r="I9" s="4"/>
    </row>
    <row r="10" customFormat="false" ht="33.75" hidden="false" customHeight="true" outlineLevel="0" collapsed="false">
      <c r="A10" s="5" t="s">
        <v>40</v>
      </c>
      <c r="B10" s="5" t="s">
        <v>41</v>
      </c>
      <c r="C10" s="5" t="s">
        <v>13</v>
      </c>
      <c r="D10" s="5" t="s">
        <v>42</v>
      </c>
      <c r="E10" s="5" t="s">
        <v>23</v>
      </c>
      <c r="F10" s="5" t="s">
        <v>23</v>
      </c>
      <c r="G10" s="5" t="s">
        <v>17</v>
      </c>
      <c r="H10" s="5" t="s">
        <v>43</v>
      </c>
      <c r="I10" s="5" t="s">
        <v>44</v>
      </c>
    </row>
    <row r="11" customFormat="false" ht="33.75" hidden="false" customHeight="true" outlineLevel="0" collapsed="false">
      <c r="A11" s="4" t="s">
        <v>45</v>
      </c>
      <c r="B11" s="4" t="s">
        <v>46</v>
      </c>
      <c r="C11" s="4" t="s">
        <v>13</v>
      </c>
      <c r="D11" s="4" t="s">
        <v>47</v>
      </c>
      <c r="E11" s="4" t="s">
        <v>23</v>
      </c>
      <c r="F11" s="4" t="s">
        <v>23</v>
      </c>
      <c r="G11" s="4" t="s">
        <v>17</v>
      </c>
      <c r="H11" s="4" t="s">
        <v>48</v>
      </c>
      <c r="I11" s="4"/>
    </row>
    <row r="12" customFormat="false" ht="33.75" hidden="false" customHeight="true" outlineLevel="0" collapsed="false">
      <c r="A12" s="5" t="s">
        <v>49</v>
      </c>
      <c r="B12" s="5" t="s">
        <v>50</v>
      </c>
      <c r="C12" s="5" t="s">
        <v>13</v>
      </c>
      <c r="D12" s="5" t="s">
        <v>42</v>
      </c>
      <c r="E12" s="5" t="s">
        <v>51</v>
      </c>
      <c r="F12" s="5" t="s">
        <v>23</v>
      </c>
      <c r="G12" s="5" t="s">
        <v>17</v>
      </c>
      <c r="H12" s="5" t="s">
        <v>52</v>
      </c>
      <c r="I12" s="5"/>
    </row>
    <row r="13" customFormat="false" ht="33.75" hidden="false" customHeight="true" outlineLevel="0" collapsed="false">
      <c r="A13" s="4" t="s">
        <v>53</v>
      </c>
      <c r="B13" s="4" t="s">
        <v>54</v>
      </c>
      <c r="C13" s="4" t="s">
        <v>55</v>
      </c>
      <c r="D13" s="4" t="s">
        <v>47</v>
      </c>
      <c r="E13" s="4" t="s">
        <v>56</v>
      </c>
      <c r="F13" s="4" t="s">
        <v>57</v>
      </c>
      <c r="G13" s="4" t="s">
        <v>17</v>
      </c>
      <c r="H13" s="4" t="s">
        <v>58</v>
      </c>
      <c r="I13" s="4"/>
    </row>
    <row r="14" customFormat="false" ht="33.75" hidden="false" customHeight="true" outlineLevel="0" collapsed="false">
      <c r="A14" s="5" t="s">
        <v>59</v>
      </c>
      <c r="B14" s="5" t="s">
        <v>60</v>
      </c>
      <c r="C14" s="5" t="s">
        <v>55</v>
      </c>
      <c r="D14" s="5" t="s">
        <v>61</v>
      </c>
      <c r="E14" s="5" t="s">
        <v>62</v>
      </c>
      <c r="F14" s="5" t="s">
        <v>57</v>
      </c>
      <c r="G14" s="5" t="s">
        <v>17</v>
      </c>
      <c r="H14" s="5" t="s">
        <v>63</v>
      </c>
      <c r="I14" s="5" t="s">
        <v>64</v>
      </c>
    </row>
    <row r="15" customFormat="false" ht="33.75" hidden="false" customHeight="true" outlineLevel="0" collapsed="false">
      <c r="A15" s="4" t="s">
        <v>65</v>
      </c>
      <c r="B15" s="4" t="s">
        <v>66</v>
      </c>
      <c r="C15" s="4" t="s">
        <v>55</v>
      </c>
      <c r="D15" s="4" t="s">
        <v>42</v>
      </c>
      <c r="E15" s="4" t="s">
        <v>67</v>
      </c>
      <c r="F15" s="4" t="s">
        <v>57</v>
      </c>
      <c r="G15" s="4" t="s">
        <v>17</v>
      </c>
      <c r="H15" s="4" t="s">
        <v>68</v>
      </c>
      <c r="I15" s="4"/>
    </row>
    <row r="16" customFormat="false" ht="33.75" hidden="false" customHeight="true" outlineLevel="0" collapsed="false">
      <c r="A16" s="5" t="s">
        <v>69</v>
      </c>
      <c r="B16" s="5" t="s">
        <v>70</v>
      </c>
      <c r="C16" s="5" t="s">
        <v>55</v>
      </c>
      <c r="D16" s="5" t="s">
        <v>71</v>
      </c>
      <c r="E16" s="5" t="s">
        <v>72</v>
      </c>
      <c r="F16" s="5" t="s">
        <v>57</v>
      </c>
      <c r="G16" s="5" t="s">
        <v>17</v>
      </c>
      <c r="H16" s="5" t="s">
        <v>73</v>
      </c>
      <c r="I16" s="5"/>
    </row>
    <row r="17" customFormat="false" ht="33.75" hidden="false" customHeight="true" outlineLevel="0" collapsed="false">
      <c r="A17" s="4" t="s">
        <v>74</v>
      </c>
      <c r="B17" s="4" t="s">
        <v>75</v>
      </c>
      <c r="C17" s="4" t="s">
        <v>55</v>
      </c>
      <c r="D17" s="4" t="s">
        <v>76</v>
      </c>
      <c r="E17" s="4" t="s">
        <v>77</v>
      </c>
      <c r="F17" s="4" t="s">
        <v>77</v>
      </c>
      <c r="G17" s="4" t="s">
        <v>17</v>
      </c>
      <c r="H17" s="4" t="s">
        <v>78</v>
      </c>
      <c r="I17" s="4"/>
    </row>
    <row r="18" customFormat="false" ht="33.75" hidden="false" customHeight="true" outlineLevel="0" collapsed="false">
      <c r="A18" s="5" t="s">
        <v>79</v>
      </c>
      <c r="B18" s="5" t="s">
        <v>80</v>
      </c>
      <c r="C18" s="5" t="s">
        <v>55</v>
      </c>
      <c r="D18" s="5" t="s">
        <v>81</v>
      </c>
      <c r="E18" s="5" t="s">
        <v>82</v>
      </c>
      <c r="F18" s="5" t="s">
        <v>83</v>
      </c>
      <c r="G18" s="5" t="s">
        <v>17</v>
      </c>
      <c r="H18" s="5" t="s">
        <v>84</v>
      </c>
      <c r="I18" s="5"/>
    </row>
    <row r="19" customFormat="false" ht="33.75" hidden="false" customHeight="true" outlineLevel="0" collapsed="false">
      <c r="A19" s="4" t="s">
        <v>85</v>
      </c>
      <c r="B19" s="4" t="s">
        <v>86</v>
      </c>
      <c r="C19" s="4" t="s">
        <v>55</v>
      </c>
      <c r="D19" s="4" t="s">
        <v>71</v>
      </c>
      <c r="E19" s="4" t="s">
        <v>87</v>
      </c>
      <c r="F19" s="4" t="s">
        <v>88</v>
      </c>
      <c r="G19" s="4" t="s">
        <v>17</v>
      </c>
      <c r="H19" s="4" t="s">
        <v>89</v>
      </c>
      <c r="I19" s="4" t="s">
        <v>90</v>
      </c>
    </row>
    <row r="20" customFormat="false" ht="33.75" hidden="false" customHeight="true" outlineLevel="0" collapsed="false">
      <c r="A20" s="5" t="s">
        <v>91</v>
      </c>
      <c r="B20" s="5" t="s">
        <v>92</v>
      </c>
      <c r="C20" s="5" t="s">
        <v>55</v>
      </c>
      <c r="D20" s="5" t="s">
        <v>71</v>
      </c>
      <c r="E20" s="5" t="s">
        <v>72</v>
      </c>
      <c r="F20" s="5" t="s">
        <v>93</v>
      </c>
      <c r="G20" s="5" t="s">
        <v>17</v>
      </c>
      <c r="H20" s="5" t="s">
        <v>94</v>
      </c>
      <c r="I20" s="5" t="s">
        <v>90</v>
      </c>
    </row>
    <row r="21" customFormat="false" ht="33.75" hidden="false" customHeight="true" outlineLevel="0" collapsed="false">
      <c r="A21" s="4" t="s">
        <v>95</v>
      </c>
      <c r="B21" s="4" t="s">
        <v>96</v>
      </c>
      <c r="C21" s="4" t="s">
        <v>55</v>
      </c>
      <c r="D21" s="4" t="s">
        <v>97</v>
      </c>
      <c r="E21" s="4" t="s">
        <v>98</v>
      </c>
      <c r="F21" s="4" t="s">
        <v>77</v>
      </c>
      <c r="G21" s="4" t="s">
        <v>17</v>
      </c>
      <c r="H21" s="4" t="s">
        <v>99</v>
      </c>
      <c r="I21" s="4" t="s">
        <v>90</v>
      </c>
    </row>
    <row r="23" customFormat="false" ht="15" hidden="false" customHeight="false" outlineLevel="0" collapsed="false">
      <c r="A23" s="6" t="s">
        <v>100</v>
      </c>
    </row>
    <row r="24" customFormat="false" ht="15" hidden="false" customHeight="false" outlineLevel="0" collapsed="false">
      <c r="A24" s="7" t="s">
        <v>101</v>
      </c>
      <c r="B24" s="8" t="n">
        <f aca="false">COUNTA(B5:B21)</f>
        <v>17</v>
      </c>
    </row>
    <row r="25" customFormat="false" ht="15" hidden="false" customHeight="false" outlineLevel="0" collapsed="false">
      <c r="A25" s="7" t="s">
        <v>102</v>
      </c>
      <c r="B25" s="8" t="n">
        <f aca="false">COUNTIF(G5:G21,"Complete")</f>
        <v>0</v>
      </c>
    </row>
    <row r="26" customFormat="false" ht="15" hidden="false" customHeight="false" outlineLevel="0" collapsed="false">
      <c r="A26" s="7" t="s">
        <v>103</v>
      </c>
      <c r="B26" s="8" t="n">
        <f aca="false">COUNTIF(G5:G21,"In Progress")</f>
        <v>0</v>
      </c>
    </row>
    <row r="27" customFormat="false" ht="15" hidden="false" customHeight="false" outlineLevel="0" collapsed="false">
      <c r="A27" s="7" t="s">
        <v>104</v>
      </c>
      <c r="B27" s="8" t="n">
        <f aca="false">COUNTIF(G5:G21,"At Risk")+COUNTIF(G5:G21,"Blocked")+COUNTIF(G5:G21,"Overdue")</f>
        <v>0</v>
      </c>
    </row>
    <row r="28" customFormat="false" ht="15" hidden="false" customHeight="false" outlineLevel="0" collapsed="false">
      <c r="A28" s="7" t="s">
        <v>17</v>
      </c>
      <c r="B28" s="8" t="n">
        <f aca="false">COUNTIF(G5:G21,"Not Started")</f>
        <v>17</v>
      </c>
    </row>
  </sheetData>
  <conditionalFormatting sqref="G5:G21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"Blocked"</formula>
    </cfRule>
    <cfRule type="cellIs" priority="7" operator="equal" aboveAverage="0" equalAverage="0" bottom="0" percent="0" rank="0" text="" dxfId="4">
      <formula>"Overdue"</formula>
    </cfRule>
  </conditionalFormatting>
  <dataValidations count="1">
    <dataValidation allowBlank="true" errorStyle="stop" operator="between" showDropDown="false" showErrorMessage="false" showInputMessage="false" sqref="G5:G21" type="list">
      <formula1>"Not Started,In Progress,Complete,At Risk,Blocked,Overdue"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2026-06-10T03:09:27Z</dcterms:created>
  <dc:creator>openpyxl</dc:creator>
  <dc:description/>
  <dc:language>en-US</dc:language>
  <cp:lastModifiedBy/>
  <dcterms:modified xsi:type="dcterms:W3CDTF">2026-06-10T03:09:27Z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