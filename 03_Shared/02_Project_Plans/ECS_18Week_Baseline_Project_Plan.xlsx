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oject Plan" sheetId="1" state="visible" r:id="rId3"/>
    <sheet name="MS Project Import" sheetId="2" state="visible" r:id="rId4"/>
    <sheet name="SNow PPM Import" sheetId="3" state="visible" r:id="rId5"/>
    <sheet name="Roles Reference" sheetId="4" state="visible" r:id="rId6"/>
    <sheet name="Instruction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<sst xmlns="http://schemas.openxmlformats.org/spreadsheetml/2006/main" count="2534" uniqueCount="862">
  <si>
    <t xml:space="preserve">ECS FEDERAL — 18-WEEK OOTB SERVICENOW BASELINE PROJECT PLAN</t>
  </si>
  <si>
    <t xml:space="preserve">SH-PP-01  ·  Shared — ECS Team + Customer  ·  Template: update Project Start Date (B3) to generate all dates</t>
  </si>
  <si>
    <t xml:space="preserve">Project Start Date:</t>
  </si>
  <si>
    <t xml:space="preserve">← Change this date; all task dates recalculate automatically</t>
  </si>
  <si>
    <t xml:space="preserve">LEGEND:   Phase Header (dark navy)   |   Task Row (white/alt)   |   ✦ Milestone (gold)   |   Recurring Governance (teal)   |   Predecessors = Task IDs in column A</t>
  </si>
  <si>
    <t xml:space="preserve">ID</t>
  </si>
  <si>
    <t xml:space="preserve">WBS</t>
  </si>
  <si>
    <t xml:space="preserve">Phase</t>
  </si>
  <si>
    <t xml:space="preserve">Sprint</t>
  </si>
  <si>
    <t xml:space="preserve">Task Name</t>
  </si>
  <si>
    <t xml:space="preserve">Duration
(Days)</t>
  </si>
  <si>
    <t xml:space="preserve">Start Date</t>
  </si>
  <si>
    <t xml:space="preserve">Finish Date</t>
  </si>
  <si>
    <t xml:space="preserve">Predecessors</t>
  </si>
  <si>
    <t xml:space="preserve">ECS Primary</t>
  </si>
  <si>
    <t xml:space="preserve">ECS Support</t>
  </si>
  <si>
    <t xml:space="preserve">Customer Primary</t>
  </si>
  <si>
    <t xml:space="preserve">Customer Support</t>
  </si>
  <si>
    <t xml:space="preserve">Status</t>
  </si>
  <si>
    <t xml:space="preserve">% Complete</t>
  </si>
  <si>
    <t xml:space="preserve">Notes / Deliverables</t>
  </si>
  <si>
    <t xml:space="preserve">0</t>
  </si>
  <si>
    <t xml:space="preserve">Sprint 0</t>
  </si>
  <si>
    <t xml:space="preserve">SPRINT 0 — ENGAGEMENT SETUP</t>
  </si>
  <si>
    <t xml:space="preserve">EM</t>
  </si>
  <si>
    <t xml:space="preserve">SA, PC</t>
  </si>
  <si>
    <t xml:space="preserve">Sponsor, CustPM</t>
  </si>
  <si>
    <t xml:space="preserve">Not Started</t>
  </si>
  <si>
    <t xml:space="preserve">Weeks 1–2. All setup activities to ensure team and environment are ready for Sprint 1.</t>
  </si>
  <si>
    <t xml:space="preserve">0.1</t>
  </si>
  <si>
    <t xml:space="preserve">        Internal ECS kickoff — SOW review &amp; consultant assignment</t>
  </si>
  <si>
    <t xml:space="preserve">PM</t>
  </si>
  <si>
    <t xml:space="preserve">Review SOW scope, confirm consultant roles, load sprint tooling and templates.</t>
  </si>
  <si>
    <t xml:space="preserve">0.2</t>
  </si>
  <si>
    <t xml:space="preserve">        Contract &amp; SOW finalization (customer signature)</t>
  </si>
  <si>
    <t xml:space="preserve">Sponsor</t>
  </si>
  <si>
    <t xml:space="preserve">CustPM</t>
  </si>
  <si>
    <t xml:space="preserve">Confirm signed SOW before Sprint 1 commitment.</t>
  </si>
  <si>
    <t xml:space="preserve">0.3</t>
  </si>
  <si>
    <t xml:space="preserve">        Customer kickoff meeting</t>
  </si>
  <si>
    <t xml:space="preserve">2,3</t>
  </si>
  <si>
    <t xml:space="preserve">EM, SA</t>
  </si>
  <si>
    <t xml:space="preserve">PC</t>
  </si>
  <si>
    <t xml:space="preserve">TechLead</t>
  </si>
  <si>
    <t xml:space="preserve">Introductions, engagement overview, 18-week journey walk-through, Q&amp;A.</t>
  </si>
  <si>
    <t xml:space="preserve">0.4</t>
  </si>
  <si>
    <t xml:space="preserve">        Environment provisioning — dev / test / prod instances</t>
  </si>
  <si>
    <t xml:space="preserve">4</t>
  </si>
  <si>
    <t xml:space="preserve">SA, TC</t>
  </si>
  <si>
    <t xml:space="preserve">ServiceNow instance request, MID server setup, network access.</t>
  </si>
  <si>
    <t xml:space="preserve">0.5</t>
  </si>
  <si>
    <t xml:space="preserve">        Access &amp; credentials setup (admin, consultant, test accounts)</t>
  </si>
  <si>
    <t xml:space="preserve">TC</t>
  </si>
  <si>
    <t xml:space="preserve">SA</t>
  </si>
  <si>
    <t xml:space="preserve">ECS consultant accounts, customer admin accounts, SSO config baseline.</t>
  </si>
  <si>
    <t xml:space="preserve">0.6</t>
  </si>
  <si>
    <t xml:space="preserve">        Governance &amp; decision rights workshop</t>
  </si>
  <si>
    <t xml:space="preserve">EM, PC</t>
  </si>
  <si>
    <t xml:space="preserve">Establish customization council, RACI, escalation path, decision log.</t>
  </si>
  <si>
    <t xml:space="preserve">0.7</t>
  </si>
  <si>
    <t xml:space="preserve">        Customization Council charter signed</t>
  </si>
  <si>
    <t xml:space="preserve">7</t>
  </si>
  <si>
    <t xml:space="preserve">Council charter defines quorum, meeting cadence, and veto rights for any scope deviation.</t>
  </si>
  <si>
    <t xml:space="preserve">0.8</t>
  </si>
  <si>
    <t xml:space="preserve">        Communication plan &amp; cadence established</t>
  </si>
  <si>
    <t xml:space="preserve">Weekly status report schedule, bi-weekly sponsor sync, sprint demo invites.</t>
  </si>
  <si>
    <t xml:space="preserve">0.9</t>
  </si>
  <si>
    <t xml:space="preserve">        Risk register initialized</t>
  </si>
  <si>
    <t xml:space="preserve">Populate with known risks: data readiness, SME availability, environment delays.</t>
  </si>
  <si>
    <t xml:space="preserve">0.10</t>
  </si>
  <si>
    <t xml:space="preserve">        Foundation Data Pack distributed to customer</t>
  </si>
  <si>
    <t xml:space="preserve">SME-ITSM</t>
  </si>
  <si>
    <t xml:space="preserve">AP-01 workbooks: users, locations, departments, groups, assignment rules, SLAs, schedules.</t>
  </si>
  <si>
    <t xml:space="preserve">0.11</t>
  </si>
  <si>
    <t xml:space="preserve">        Stakeholder mapping completed</t>
  </si>
  <si>
    <t xml:space="preserve">Identify all SMEs, decision owners, and change champions per process area.</t>
  </si>
  <si>
    <t xml:space="preserve">0.12</t>
  </si>
  <si>
    <t xml:space="preserve">        Sprint 0 readiness validation (ECS checklist)</t>
  </si>
  <si>
    <t xml:space="preserve">5,6,7,8,9,10,11,12</t>
  </si>
  <si>
    <t xml:space="preserve">Confirm: env provisioned, access live, governance signed, data pack distributed, risks logged.</t>
  </si>
  <si>
    <t xml:space="preserve">0.M</t>
  </si>
  <si>
    <t xml:space="preserve">✦ MILESTONE: Sprint 0 Complete — Ready to Build</t>
  </si>
  <si>
    <t xml:space="preserve">—</t>
  </si>
  <si>
    <t xml:space="preserve">13</t>
  </si>
  <si>
    <t xml:space="preserve">1</t>
  </si>
  <si>
    <t xml:space="preserve">Month 1</t>
  </si>
  <si>
    <t xml:space="preserve">Sprint 1</t>
  </si>
  <si>
    <t xml:space="preserve">SPRINT 1 — PLATFORM FOUNDATION &amp; ITSM DESIGN</t>
  </si>
  <si>
    <t xml:space="preserve">CustPM, TechLead</t>
  </si>
  <si>
    <t xml:space="preserve">Weeks 3–4. Platform stand-up, CSDM, and ITSM design workshops.</t>
  </si>
  <si>
    <t xml:space="preserve">1.1</t>
  </si>
  <si>
    <t xml:space="preserve">        Sprint 1 planning session</t>
  </si>
  <si>
    <t xml:space="preserve">14</t>
  </si>
  <si>
    <t xml:space="preserve">PC, TC</t>
  </si>
  <si>
    <t xml:space="preserve">Story review, sprint backlog confirmation, acceptance criteria.</t>
  </si>
  <si>
    <t xml:space="preserve">1.2</t>
  </si>
  <si>
    <t xml:space="preserve">        Platform architecture stand-up &amp; baseline configuration</t>
  </si>
  <si>
    <t xml:space="preserve">16,5</t>
  </si>
  <si>
    <t xml:space="preserve">CMDB scope settings, update sets, source control, MID server validation.</t>
  </si>
  <si>
    <t xml:space="preserve">1.3</t>
  </si>
  <si>
    <t xml:space="preserve">        CSDM definition workshop</t>
  </si>
  <si>
    <t xml:space="preserve">16</t>
  </si>
  <si>
    <t xml:space="preserve">Map customer services, apps, and CIs to CSDM layers. Define service taxonomy.</t>
  </si>
  <si>
    <t xml:space="preserve">1.4</t>
  </si>
  <si>
    <t xml:space="preserve">        CSDM validation against ServiceNow data model</t>
  </si>
  <si>
    <t xml:space="preserve">18</t>
  </si>
  <si>
    <t xml:space="preserve">Validate service-CI relationships; confirm Business Service and Technical Service scope.</t>
  </si>
  <si>
    <t xml:space="preserve">1.5</t>
  </si>
  <si>
    <t xml:space="preserve">        ITSM design workshop — Incident Management</t>
  </si>
  <si>
    <t xml:space="preserve">State model, categorization, priority matrix, routing logic, SLA tiers.</t>
  </si>
  <si>
    <t xml:space="preserve">1.6</t>
  </si>
  <si>
    <t xml:space="preserve">        ITSM design workshop — Problem Management</t>
  </si>
  <si>
    <t xml:space="preserve">20</t>
  </si>
  <si>
    <t xml:space="preserve">Problem identification triggers, investigation workflow, known error base.</t>
  </si>
  <si>
    <t xml:space="preserve">1.7</t>
  </si>
  <si>
    <t xml:space="preserve">        ITSM design workshop — Request Management</t>
  </si>
  <si>
    <t xml:space="preserve">21</t>
  </si>
  <si>
    <t xml:space="preserve">SME-Catalog</t>
  </si>
  <si>
    <t xml:space="preserve">Request types, fulfillment model, approval tiers, SLA targets.</t>
  </si>
  <si>
    <t xml:space="preserve">1.8</t>
  </si>
  <si>
    <t xml:space="preserve">        Foundation Data Pack review — users, groups, locations</t>
  </si>
  <si>
    <t xml:space="preserve">11</t>
  </si>
  <si>
    <t xml:space="preserve">Review customer-returned workbooks; identify gaps before Sprint 3 config.</t>
  </si>
  <si>
    <t xml:space="preserve">1.9</t>
  </si>
  <si>
    <t xml:space="preserve">        Assignment rules &amp; SLA design review</t>
  </si>
  <si>
    <t xml:space="preserve">23</t>
  </si>
  <si>
    <t xml:space="preserve">Confirm assignment group structure, SLA definitions, and escalation schedules.</t>
  </si>
  <si>
    <t xml:space="preserve">1.10</t>
  </si>
  <si>
    <t xml:space="preserve">        Sprint 1 demo</t>
  </si>
  <si>
    <t xml:space="preserve">17,19,24</t>
  </si>
  <si>
    <t xml:space="preserve">TechLead, SME-ITSM</t>
  </si>
  <si>
    <t xml:space="preserve">Demo: platform baseline, CSDM service map, design decision recap.</t>
  </si>
  <si>
    <t xml:space="preserve">1.11</t>
  </si>
  <si>
    <t xml:space="preserve">        Sprint 1 retro</t>
  </si>
  <si>
    <t xml:space="preserve">25</t>
  </si>
  <si>
    <t xml:space="preserve">Velocity, blockers, action items. Update risk register.</t>
  </si>
  <si>
    <t xml:space="preserve">1.M</t>
  </si>
  <si>
    <t xml:space="preserve">✦ MILESTONE: Sprint 1 Complete</t>
  </si>
  <si>
    <t xml:space="preserve">26</t>
  </si>
  <si>
    <t xml:space="preserve">2</t>
  </si>
  <si>
    <t xml:space="preserve">Sprint 2</t>
  </si>
  <si>
    <t xml:space="preserve">SPRINT 2 — DISCOVERY &amp; CMDB FOUNDATION</t>
  </si>
  <si>
    <t xml:space="preserve">Weeks 5–6. Discovery tooling, Service Graph Connectors, CMDB normalization, catalog scope.</t>
  </si>
  <si>
    <t xml:space="preserve">2.1</t>
  </si>
  <si>
    <t xml:space="preserve">        Sprint 2 planning session</t>
  </si>
  <si>
    <t xml:space="preserve">27</t>
  </si>
  <si>
    <t xml:space="preserve">2.2</t>
  </si>
  <si>
    <t xml:space="preserve">        Discovery tool installation &amp; network scan configuration</t>
  </si>
  <si>
    <t xml:space="preserve">29</t>
  </si>
  <si>
    <t xml:space="preserve">Discovery schedules, credentials, network range scoping.</t>
  </si>
  <si>
    <t xml:space="preserve">2.3</t>
  </si>
  <si>
    <t xml:space="preserve">        Service Graph Connectors — SCCM / Intune porting</t>
  </si>
  <si>
    <t xml:space="preserve">Port connectors from prior system; validate CI population in CMDB.</t>
  </si>
  <si>
    <t xml:space="preserve">2.4</t>
  </si>
  <si>
    <t xml:space="preserve">        CMDB normalization — scope &amp; approach workshop</t>
  </si>
  <si>
    <t xml:space="preserve">Agree CI classes in scope, normalization rules, rogue CI cleanup approach.</t>
  </si>
  <si>
    <t xml:space="preserve">2.5</t>
  </si>
  <si>
    <t xml:space="preserve">        CI class selection workshop</t>
  </si>
  <si>
    <t xml:space="preserve">32,19</t>
  </si>
  <si>
    <t xml:space="preserve">Select Server, Network, Application CI classes; confirm relationship types.</t>
  </si>
  <si>
    <t xml:space="preserve">2.6</t>
  </si>
  <si>
    <t xml:space="preserve">        Initial CMDB data load &amp; relationship validation</t>
  </si>
  <si>
    <t xml:space="preserve">33</t>
  </si>
  <si>
    <t xml:space="preserve">Load SCCM/Intune data; validate CI counts, duplicates, relationship integrity.</t>
  </si>
  <si>
    <t xml:space="preserve">2.7</t>
  </si>
  <si>
    <t xml:space="preserve">        Service catalog — category structure design workshop</t>
  </si>
  <si>
    <t xml:space="preserve">Rationalize legacy categories; target ≤15 top-level categories OOTB.</t>
  </si>
  <si>
    <t xml:space="preserve">2.8</t>
  </si>
  <si>
    <t xml:space="preserve">        Service catalog — item inventory &amp; prioritization</t>
  </si>
  <si>
    <t xml:space="preserve">35</t>
  </si>
  <si>
    <t xml:space="preserve">Inventory existing items; prioritize 13–15 for Sprint 4/6 build.</t>
  </si>
  <si>
    <t xml:space="preserve">2.9</t>
  </si>
  <si>
    <t xml:space="preserve">        Sprint 2 demo</t>
  </si>
  <si>
    <t xml:space="preserve">30,31,34,36</t>
  </si>
  <si>
    <t xml:space="preserve">Demo: Discovery scan, CMDB CIs, Service Graph connector results, catalog scope.</t>
  </si>
  <si>
    <t xml:space="preserve">2.10</t>
  </si>
  <si>
    <t xml:space="preserve">        Sprint 2 retro</t>
  </si>
  <si>
    <t xml:space="preserve">37</t>
  </si>
  <si>
    <t xml:space="preserve">2.M</t>
  </si>
  <si>
    <t xml:space="preserve">✦ MILESTONE: Sprint 2 Complete — Foundation Data in System</t>
  </si>
  <si>
    <t xml:space="preserve">38</t>
  </si>
  <si>
    <t xml:space="preserve">3</t>
  </si>
  <si>
    <t xml:space="preserve">Month 2</t>
  </si>
  <si>
    <t xml:space="preserve">Sprint 3</t>
  </si>
  <si>
    <t xml:space="preserve">SPRINT 3 — ITSM CORE BUILD</t>
  </si>
  <si>
    <t xml:space="preserve">Weeks 7–8. Configure Incident, Major Incident, Problem, Request, SLAs, assignments, approvals.</t>
  </si>
  <si>
    <t xml:space="preserve">3.1</t>
  </si>
  <si>
    <t xml:space="preserve">        Sprint 3 planning session</t>
  </si>
  <si>
    <t xml:space="preserve">39</t>
  </si>
  <si>
    <t xml:space="preserve">3.2</t>
  </si>
  <si>
    <t xml:space="preserve">        Incident Management — OOTB configuration</t>
  </si>
  <si>
    <t xml:space="preserve">41,20</t>
  </si>
  <si>
    <t xml:space="preserve">State model, categories, assignment rules, VIP handling, OOTB form layout.</t>
  </si>
  <si>
    <t xml:space="preserve">3.3</t>
  </si>
  <si>
    <t xml:space="preserve">        Major Incident Management configuration</t>
  </si>
  <si>
    <t xml:space="preserve">42</t>
  </si>
  <si>
    <t xml:space="preserve">P1/P2 bridge triggers, comms templates, bridge workspace, MIM role.</t>
  </si>
  <si>
    <t xml:space="preserve">3.4</t>
  </si>
  <si>
    <t xml:space="preserve">        Problem Management configuration</t>
  </si>
  <si>
    <t xml:space="preserve">41,21</t>
  </si>
  <si>
    <t xml:space="preserve">Problem creation triggers, investigation/RCA workflow, known error publishing.</t>
  </si>
  <si>
    <t xml:space="preserve">3.5</t>
  </si>
  <si>
    <t xml:space="preserve">        Request Management configuration (RITM + catalog flow)</t>
  </si>
  <si>
    <t xml:space="preserve">41,22</t>
  </si>
  <si>
    <t xml:space="preserve">RITM state model, task assignment, approval workflow, SLA.</t>
  </si>
  <si>
    <t xml:space="preserve">3.6</t>
  </si>
  <si>
    <t xml:space="preserve">        SLA configuration &amp; testing</t>
  </si>
  <si>
    <t xml:space="preserve">42,24</t>
  </si>
  <si>
    <t xml:space="preserve">P1–P4 SLA definitions, schedule attachments, breach notifications, pause conditions.</t>
  </si>
  <si>
    <t xml:space="preserve">3.7</t>
  </si>
  <si>
    <t xml:space="preserve">        Assignment rules configuration</t>
  </si>
  <si>
    <t xml:space="preserve">OOTB assignment rules, group rotation, overflow rules.</t>
  </si>
  <si>
    <t xml:space="preserve">3.8</t>
  </si>
  <si>
    <t xml:space="preserve">        Approval workflow configuration</t>
  </si>
  <si>
    <t xml:space="preserve">45</t>
  </si>
  <si>
    <t xml:space="preserve">Approval groups, delegate rules, auto-approval thresholds, OOTB approval engine.</t>
  </si>
  <si>
    <t xml:space="preserve">3.9</t>
  </si>
  <si>
    <t xml:space="preserve">        Notifications configuration</t>
  </si>
  <si>
    <t xml:space="preserve">42,44,45</t>
  </si>
  <si>
    <t xml:space="preserve">OOTB notification templates for Incident, Problem, Request state changes.</t>
  </si>
  <si>
    <t xml:space="preserve">3.10</t>
  </si>
  <si>
    <t xml:space="preserve">        Sprint 3 demo — ITSM Core</t>
  </si>
  <si>
    <t xml:space="preserve">43,44,45,46,47,48,49</t>
  </si>
  <si>
    <t xml:space="preserve">Live demo of Incident lifecycle, Problem investigation, Request fulfillment.</t>
  </si>
  <si>
    <t xml:space="preserve">3.11</t>
  </si>
  <si>
    <t xml:space="preserve">        Sprint 3 retro</t>
  </si>
  <si>
    <t xml:space="preserve">50</t>
  </si>
  <si>
    <t xml:space="preserve">3.M</t>
  </si>
  <si>
    <t xml:space="preserve">✦ MILESTONE: Sprint 3 Complete — ITSM Core Configured</t>
  </si>
  <si>
    <t xml:space="preserve">51</t>
  </si>
  <si>
    <t xml:space="preserve">Sprint 4</t>
  </si>
  <si>
    <t xml:space="preserve">SPRINT 4 — CHANGE / CAB &amp; SERVICE CATALOG BUILD</t>
  </si>
  <si>
    <t xml:space="preserve">SME-ITSM, SME-Catalog</t>
  </si>
  <si>
    <t xml:space="preserve">Weeks 9–10. Change/CAB OOTB build, catalog items batch 1 &amp; 2, Employee Center baseline.</t>
  </si>
  <si>
    <t xml:space="preserve">4.1</t>
  </si>
  <si>
    <t xml:space="preserve">        Sprint 4 planning session</t>
  </si>
  <si>
    <t xml:space="preserve">52</t>
  </si>
  <si>
    <t xml:space="preserve">4.2</t>
  </si>
  <si>
    <t xml:space="preserve">        Change Management — OOTB configuration</t>
  </si>
  <si>
    <t xml:space="preserve">54</t>
  </si>
  <si>
    <t xml:space="preserve">Normal/Standard/Emergency change types, CAB schedule, risk assessment, OOTB state model.</t>
  </si>
  <si>
    <t xml:space="preserve">4.3</t>
  </si>
  <si>
    <t xml:space="preserve">        CAB Workbench setup &amp; CAB process design</t>
  </si>
  <si>
    <t xml:space="preserve">55</t>
  </si>
  <si>
    <t xml:space="preserve">CAB meeting workspace, agenda automation, change calendar, approval flow.</t>
  </si>
  <si>
    <t xml:space="preserve">4.4</t>
  </si>
  <si>
    <t xml:space="preserve">        Service catalog — item build batch 1 (items 1–5)</t>
  </si>
  <si>
    <t xml:space="preserve">54,36</t>
  </si>
  <si>
    <t xml:space="preserve">Build highest-priority 5 catalog items with OOTB variables, workflows, and approvals.</t>
  </si>
  <si>
    <t xml:space="preserve">4.5</t>
  </si>
  <si>
    <t xml:space="preserve">        Service catalog — item build batch 2 (items 6–10)</t>
  </si>
  <si>
    <t xml:space="preserve">57</t>
  </si>
  <si>
    <t xml:space="preserve">4.6</t>
  </si>
  <si>
    <t xml:space="preserve">        Fulfillment workflow configuration</t>
  </si>
  <si>
    <t xml:space="preserve">Flow designer workflows for catalog items; task assignment and SLA.</t>
  </si>
  <si>
    <t xml:space="preserve">4.7</t>
  </si>
  <si>
    <t xml:space="preserve">        Employee Center portal — baseline setup</t>
  </si>
  <si>
    <t xml:space="preserve">SME-HR</t>
  </si>
  <si>
    <t xml:space="preserve">Portal branding baseline, taxonomy, IT &amp; HR topic pages, announcement widget.</t>
  </si>
  <si>
    <t xml:space="preserve">4.8</t>
  </si>
  <si>
    <t xml:space="preserve">        Sprint 4 demo — Change, Catalog, Employee Center</t>
  </si>
  <si>
    <t xml:space="preserve">56,58,59,60</t>
  </si>
  <si>
    <t xml:space="preserve">4.9</t>
  </si>
  <si>
    <t xml:space="preserve">        Sprint 4 retro</t>
  </si>
  <si>
    <t xml:space="preserve">61</t>
  </si>
  <si>
    <t xml:space="preserve">4.M</t>
  </si>
  <si>
    <t xml:space="preserve">✦ MILESTONE: Sprint 4 Complete — Core Build Done</t>
  </si>
  <si>
    <t xml:space="preserve">62</t>
  </si>
  <si>
    <t xml:space="preserve">5</t>
  </si>
  <si>
    <t xml:space="preserve">Month 3</t>
  </si>
  <si>
    <t xml:space="preserve">Sprint 5</t>
  </si>
  <si>
    <t xml:space="preserve">SPRINT 5 — EMPLOYEE EXPERIENCE &amp; PLATFORM ANALYTICS</t>
  </si>
  <si>
    <t xml:space="preserve">SME-HR, CustPM</t>
  </si>
  <si>
    <t xml:space="preserve">Weeks 11–12. Employee Center, Knowledge, Virtual Agent, Predictive Intelligence, PA.</t>
  </si>
  <si>
    <t xml:space="preserve">5.1</t>
  </si>
  <si>
    <t xml:space="preserve">        Sprint 5 planning session</t>
  </si>
  <si>
    <t xml:space="preserve">63</t>
  </si>
  <si>
    <t xml:space="preserve">5.2</t>
  </si>
  <si>
    <t xml:space="preserve">        Employee Center — branding, navigation &amp; content finalization</t>
  </si>
  <si>
    <t xml:space="preserve">65,60</t>
  </si>
  <si>
    <t xml:space="preserve">Custom branding, mega-menu, topic taxonomy, HR catalog integration.</t>
  </si>
  <si>
    <t xml:space="preserve">5.3</t>
  </si>
  <si>
    <t xml:space="preserve">        Knowledge Management — article structure &amp; curation</t>
  </si>
  <si>
    <t xml:space="preserve">65</t>
  </si>
  <si>
    <t xml:space="preserve">SME-ITSM, SME-HR</t>
  </si>
  <si>
    <t xml:space="preserve">KB category structure, article templates, publishing workflow, search optimization.</t>
  </si>
  <si>
    <t xml:space="preserve">5.4</t>
  </si>
  <si>
    <t xml:space="preserve">        Virtual Agent — topic design workshop</t>
  </si>
  <si>
    <t xml:space="preserve">Prioritize top 5–8 topics; define intent, conversation flows, fallback handling.</t>
  </si>
  <si>
    <t xml:space="preserve">5.5</t>
  </si>
  <si>
    <t xml:space="preserve">        Virtual Agent — priority topic build &amp; testing</t>
  </si>
  <si>
    <t xml:space="preserve">68,67</t>
  </si>
  <si>
    <t xml:space="preserve">Build topics in NLU Workbench; test with sample utterances; embed in Employee Center.</t>
  </si>
  <si>
    <t xml:space="preserve">5.6</t>
  </si>
  <si>
    <t xml:space="preserve">        Predictive Intelligence — data readiness validation</t>
  </si>
  <si>
    <t xml:space="preserve">Validate incident/request history volume and quality for ML training readiness.</t>
  </si>
  <si>
    <t xml:space="preserve">5.7</t>
  </si>
  <si>
    <t xml:space="preserve">        Platform Analytics — dashboard &amp; KPI design workshop</t>
  </si>
  <si>
    <t xml:space="preserve">CustPM, Sponsor</t>
  </si>
  <si>
    <t xml:space="preserve">Define KPIs per process area; map to PA data sources; agree dashboard layouts.</t>
  </si>
  <si>
    <t xml:space="preserve">5.8</t>
  </si>
  <si>
    <t xml:space="preserve">        Platform Analytics — KPI and dashboard configuration</t>
  </si>
  <si>
    <t xml:space="preserve">71</t>
  </si>
  <si>
    <t xml:space="preserve">Build PA indicators, breakdowns, and dashboards in ServiceNow.</t>
  </si>
  <si>
    <t xml:space="preserve">5.9</t>
  </si>
  <si>
    <t xml:space="preserve">        Sprint 5 demo — Employee Experience &amp; Analytics</t>
  </si>
  <si>
    <t xml:space="preserve">66,69,70,72</t>
  </si>
  <si>
    <t xml:space="preserve">SME-HR, SME-ITSM</t>
  </si>
  <si>
    <t xml:space="preserve">Demo: Employee Center, Virtual Agent conversation, PA dashboard.</t>
  </si>
  <si>
    <t xml:space="preserve">5.10</t>
  </si>
  <si>
    <t xml:space="preserve">        Sprint 5 retro</t>
  </si>
  <si>
    <t xml:space="preserve">73</t>
  </si>
  <si>
    <t xml:space="preserve">5.M</t>
  </si>
  <si>
    <t xml:space="preserve">✦ MILESTONE: Sprint 5 Complete</t>
  </si>
  <si>
    <t xml:space="preserve">74</t>
  </si>
  <si>
    <t xml:space="preserve">6</t>
  </si>
  <si>
    <t xml:space="preserve">Sprint 6</t>
  </si>
  <si>
    <t xml:space="preserve">SPRINT 6 — HAM, CATALOG COMPLETION &amp; STABILIZATION</t>
  </si>
  <si>
    <t xml:space="preserve">SME-Asset, TechLead</t>
  </si>
  <si>
    <t xml:space="preserve">Weeks 13–14. HAM Foundations/Realization, remaining catalog items, integration testing, stabilization.</t>
  </si>
  <si>
    <t xml:space="preserve">6.1</t>
  </si>
  <si>
    <t xml:space="preserve">        Sprint 6 planning session</t>
  </si>
  <si>
    <t xml:space="preserve">75</t>
  </si>
  <si>
    <t xml:space="preserve">6.2</t>
  </si>
  <si>
    <t xml:space="preserve">        HAM Foundations — stockrooms, asset classes &amp; models</t>
  </si>
  <si>
    <t xml:space="preserve">77</t>
  </si>
  <si>
    <t xml:space="preserve">SME-Asset</t>
  </si>
  <si>
    <t xml:space="preserve">Configure stockrooms, asset classes, models per AP-04 (HAM Foundations pack).</t>
  </si>
  <si>
    <t xml:space="preserve">6.3</t>
  </si>
  <si>
    <t xml:space="preserve">        HAM Realization — lifecycle states &amp; IMAC workflow config</t>
  </si>
  <si>
    <t xml:space="preserve">78</t>
  </si>
  <si>
    <t xml:space="preserve">Receive, assign, transfer, return, retire workflows. Procurement intake. Per AP-05.</t>
  </si>
  <si>
    <t xml:space="preserve">6.4</t>
  </si>
  <si>
    <t xml:space="preserve">        Service catalog — remaining items build (items 11–15)</t>
  </si>
  <si>
    <t xml:space="preserve">77,58</t>
  </si>
  <si>
    <t xml:space="preserve">Complete catalog to 13–15 total OOTB items; final testing and approvals.</t>
  </si>
  <si>
    <t xml:space="preserve">6.5</t>
  </si>
  <si>
    <t xml:space="preserve">        Integration testing — all integrations (AD, SSO, SCCM, Intune)</t>
  </si>
  <si>
    <t xml:space="preserve">77,31,34</t>
  </si>
  <si>
    <t xml:space="preserve">End-to-end integration validation; user sync, SSO login, CMDB data flow.</t>
  </si>
  <si>
    <t xml:space="preserve">6.6</t>
  </si>
  <si>
    <t xml:space="preserve">        Environment stabilization &amp; performance testing</t>
  </si>
  <si>
    <t xml:space="preserve">79,80,81</t>
  </si>
  <si>
    <t xml:space="preserve">Full regression sweep; performance test under expected load; fix blocking issues.</t>
  </si>
  <si>
    <t xml:space="preserve">6.7</t>
  </si>
  <si>
    <t xml:space="preserve">        Sprint 6 demo — HAM, Catalog, Stabilization</t>
  </si>
  <si>
    <t xml:space="preserve">79,80,82</t>
  </si>
  <si>
    <t xml:space="preserve">Demo full HAM lifecycle, completed catalog, performance metrics.</t>
  </si>
  <si>
    <t xml:space="preserve">6.8</t>
  </si>
  <si>
    <t xml:space="preserve">        Sprint 6 retro</t>
  </si>
  <si>
    <t xml:space="preserve">83</t>
  </si>
  <si>
    <t xml:space="preserve">6.M</t>
  </si>
  <si>
    <t xml:space="preserve">✦ MILESTONE: Sprint 6 Complete — Build Phase Done</t>
  </si>
  <si>
    <t xml:space="preserve">84</t>
  </si>
  <si>
    <t xml:space="preserve">UAT</t>
  </si>
  <si>
    <t xml:space="preserve">USER ACCEPTANCE TESTING</t>
  </si>
  <si>
    <t xml:space="preserve">PC, EM</t>
  </si>
  <si>
    <t xml:space="preserve">SME-ITSM, SME-Catalog, SME-HR, SME-Asset, End-Users</t>
  </si>
  <si>
    <t xml:space="preserve">Weeks 15–16. Customer-led testing across all process areas.</t>
  </si>
  <si>
    <t xml:space="preserve">7.1</t>
  </si>
  <si>
    <t xml:space="preserve">        UAT test scenarios distributed to customer</t>
  </si>
  <si>
    <t xml:space="preserve">85</t>
  </si>
  <si>
    <t xml:space="preserve">Distribute CLT-UAT-02 scenario packs per process area.</t>
  </si>
  <si>
    <t xml:space="preserve">7.2</t>
  </si>
  <si>
    <t xml:space="preserve">        UAT kickoff &amp; tester orientation</t>
  </si>
  <si>
    <t xml:space="preserve">SME-ITSM, SME-Catalog, SME-HR, SME-Asset</t>
  </si>
  <si>
    <t xml:space="preserve">Walkthrough of UAT process, defect logging via CLT-UAT-03, escalation path.</t>
  </si>
  <si>
    <t xml:space="preserve">7.3</t>
  </si>
  <si>
    <t xml:space="preserve">        UAT execution — ITSM (Incident, Problem, Change, Request)</t>
  </si>
  <si>
    <t xml:space="preserve">87,88</t>
  </si>
  <si>
    <t xml:space="preserve">End-Users</t>
  </si>
  <si>
    <t xml:space="preserve">Customer executes test scenarios; ECS monitors and assists without leading.</t>
  </si>
  <si>
    <t xml:space="preserve">7.4</t>
  </si>
  <si>
    <t xml:space="preserve">        UAT execution — Service Catalog &amp; Employee Center</t>
  </si>
  <si>
    <t xml:space="preserve">SME-Catalog, SME-HR</t>
  </si>
  <si>
    <t xml:space="preserve">7.5</t>
  </si>
  <si>
    <t xml:space="preserve">        UAT execution — Virtual Agent &amp; Knowledge</t>
  </si>
  <si>
    <t xml:space="preserve">7.6</t>
  </si>
  <si>
    <t xml:space="preserve">        UAT execution — HAM lifecycle</t>
  </si>
  <si>
    <t xml:space="preserve">7.7</t>
  </si>
  <si>
    <t xml:space="preserve">        UAT defect triage &amp; remediation</t>
  </si>
  <si>
    <t xml:space="preserve">89,90,91,92</t>
  </si>
  <si>
    <t xml:space="preserve">Triage defects: fix blocking issues; log non-blocking as post-go-live backlog.</t>
  </si>
  <si>
    <t xml:space="preserve">7.8</t>
  </si>
  <si>
    <t xml:space="preserve">        UAT sign-off (customer)</t>
  </si>
  <si>
    <t xml:space="preserve">93</t>
  </si>
  <si>
    <t xml:space="preserve">Formal sign-off on UAT completion. Required before go-live authorization.</t>
  </si>
  <si>
    <t xml:space="preserve">7.M</t>
  </si>
  <si>
    <t xml:space="preserve">✦ MILESTONE: UAT Sign-Off Received</t>
  </si>
  <si>
    <t xml:space="preserve">94</t>
  </si>
  <si>
    <t xml:space="preserve">8</t>
  </si>
  <si>
    <t xml:space="preserve">Go-Live</t>
  </si>
  <si>
    <t xml:space="preserve">GO-LIVE PREPARATION &amp; EXECUTION</t>
  </si>
  <si>
    <t xml:space="preserve">TC, PC</t>
  </si>
  <si>
    <t xml:space="preserve">End of Week 16 / start of Week 17. Final go/no-go and production cutover.</t>
  </si>
  <si>
    <t xml:space="preserve">8.1</t>
  </si>
  <si>
    <t xml:space="preserve">        Go-live checklist completion &amp; readiness review</t>
  </si>
  <si>
    <t xml:space="preserve">95</t>
  </si>
  <si>
    <t xml:space="preserve">CLT-CO-01 go-live checklist reviewed and signed. Confirm helpdesk readiness.</t>
  </si>
  <si>
    <t xml:space="preserve">8.2</t>
  </si>
  <si>
    <t xml:space="preserve">        Go-live execution — production cutover</t>
  </si>
  <si>
    <t xml:space="preserve">97</t>
  </si>
  <si>
    <t xml:space="preserve">Promote update sets to prod, validate, flip DNS/SSO to prod, comms broadcast.</t>
  </si>
  <si>
    <t xml:space="preserve">8.M</t>
  </si>
  <si>
    <t xml:space="preserve">✦ MILESTONE: GO-LIVE</t>
  </si>
  <si>
    <t xml:space="preserve">98</t>
  </si>
  <si>
    <t xml:space="preserve">9</t>
  </si>
  <si>
    <t xml:space="preserve">Hypercare</t>
  </si>
  <si>
    <t xml:space="preserve">HYPERCARE</t>
  </si>
  <si>
    <t xml:space="preserve">SME-ITSM, TechLead</t>
  </si>
  <si>
    <t xml:space="preserve">Weeks 17–18. Production support, knowledge transfer, and operational handoff.</t>
  </si>
  <si>
    <t xml:space="preserve">9.1</t>
  </si>
  <si>
    <t xml:space="preserve">        Daily stand-ups &amp; production issue triage</t>
  </si>
  <si>
    <t xml:space="preserve">99</t>
  </si>
  <si>
    <t xml:space="preserve">30-min daily stand-up; ECS on standby for P1/P2 escalations during hypercare window.</t>
  </si>
  <si>
    <t xml:space="preserve">9.2</t>
  </si>
  <si>
    <t xml:space="preserve">        Knowledge transfer sessions — process area owners</t>
  </si>
  <si>
    <t xml:space="preserve">PC, SA</t>
  </si>
  <si>
    <t xml:space="preserve">Structured handoff sessions: admin procedures, OOTB config rationale, run-book.</t>
  </si>
  <si>
    <t xml:space="preserve">9.3</t>
  </si>
  <si>
    <t xml:space="preserve">        Operational handoff documentation</t>
  </si>
  <si>
    <t xml:space="preserve">CLT-CO-03, CLT-CO-04, CLT-CO-06: expectations, handoff pack, SOPs delivered.</t>
  </si>
  <si>
    <t xml:space="preserve">9.4</t>
  </si>
  <si>
    <t xml:space="preserve">        Post-go-live ownership matrix finalized</t>
  </si>
  <si>
    <t xml:space="preserve">103</t>
  </si>
  <si>
    <t xml:space="preserve">CLT-CO-05: per-process owner, escalation path, support tier. Customer-signed.</t>
  </si>
  <si>
    <t xml:space="preserve">9.5</t>
  </si>
  <si>
    <t xml:space="preserve">        Engagement closeout &amp; lessons learned</t>
  </si>
  <si>
    <t xml:space="preserve">101,102,104</t>
  </si>
  <si>
    <t xml:space="preserve">INT-LL-01 completed. Closeout deck. Final invoice trigger. Retro with ECS PM.</t>
  </si>
  <si>
    <t xml:space="preserve">9.6</t>
  </si>
  <si>
    <t xml:space="preserve">        Continuous improvement roadmap delivered</t>
  </si>
  <si>
    <t xml:space="preserve">104</t>
  </si>
  <si>
    <t xml:space="preserve">CLT-CO-07: post-engagement backlog of deferred items, follow-on engagement framing.</t>
  </si>
  <si>
    <t xml:space="preserve">9.M</t>
  </si>
  <si>
    <t xml:space="preserve">✦ MILESTONE: Engagement Complete</t>
  </si>
  <si>
    <t xml:space="preserve">105,106</t>
  </si>
  <si>
    <t xml:space="preserve">G.1</t>
  </si>
  <si>
    <t xml:space="preserve">Governance</t>
  </si>
  <si>
    <t xml:space="preserve">All Sprints</t>
  </si>
  <si>
    <t xml:space="preserve">        Weekly status report (ECS EM → Customer PM)</t>
  </si>
  <si>
    <t xml:space="preserve">RECURRING weekly throughout engagement. SH-SG-03 template.</t>
  </si>
  <si>
    <t xml:space="preserve">G.2</t>
  </si>
  <si>
    <t xml:space="preserve">        Bi-weekly sponsor sync (EM + Sponsor)</t>
  </si>
  <si>
    <t xml:space="preserve">RECURRING bi-weekly. INT-TBV-04 agenda template. Health RAG status reviewed.</t>
  </si>
  <si>
    <t xml:space="preserve">G.3</t>
  </si>
  <si>
    <t xml:space="preserve">Monthly</t>
  </si>
  <si>
    <t xml:space="preserve">        Customization Council review (monthly)</t>
  </si>
  <si>
    <t xml:space="preserve">RECURRING monthly. Any OOTB deviation requests reviewed and triaged.</t>
  </si>
  <si>
    <t xml:space="preserve">MS PROJECT IMPORT SHEET — Save this sheet as CSV (comma-delimited) or use File &gt; Import in MS Project. Map columns by header name. Set Start Date on 'Project Plan' sheet tab first.</t>
  </si>
  <si>
    <t xml:space="preserve">Outline Level</t>
  </si>
  <si>
    <t xml:space="preserve">Name</t>
  </si>
  <si>
    <t xml:space="preserve">Duration</t>
  </si>
  <si>
    <t xml:space="preserve">Start</t>
  </si>
  <si>
    <t xml:space="preserve">Finish</t>
  </si>
  <si>
    <t xml:space="preserve">Resource Names</t>
  </si>
  <si>
    <t xml:space="preserve">Notes</t>
  </si>
  <si>
    <t xml:space="preserve">10 days</t>
  </si>
  <si>
    <t xml:space="preserve">EM; SA, PC; Sponsor, CustPM</t>
  </si>
  <si>
    <t xml:space="preserve">Internal ECS kickoff — SOW review &amp; consultant assignment</t>
  </si>
  <si>
    <t xml:space="preserve">1 days</t>
  </si>
  <si>
    <t xml:space="preserve">EM; PM</t>
  </si>
  <si>
    <t xml:space="preserve">Contract &amp; SOW finalization (customer signature)</t>
  </si>
  <si>
    <t xml:space="preserve">EM; Sponsor; CustPM</t>
  </si>
  <si>
    <t xml:space="preserve">Customer kickoff meeting</t>
  </si>
  <si>
    <t xml:space="preserve">EM, SA; PC; Sponsor, CustPM; TechLead</t>
  </si>
  <si>
    <t xml:space="preserve">Environment provisioning — dev / test / prod instances</t>
  </si>
  <si>
    <t xml:space="preserve">3 days</t>
  </si>
  <si>
    <t xml:space="preserve">SA, TC; TechLead</t>
  </si>
  <si>
    <t xml:space="preserve">Access &amp; credentials setup (admin, consultant, test accounts)</t>
  </si>
  <si>
    <t xml:space="preserve">2 days</t>
  </si>
  <si>
    <t xml:space="preserve">TC; SA; TechLead</t>
  </si>
  <si>
    <t xml:space="preserve">Governance &amp; decision rights workshop</t>
  </si>
  <si>
    <t xml:space="preserve">EM, PC; Sponsor, CustPM; TechLead</t>
  </si>
  <si>
    <t xml:space="preserve">Customization Council charter signed</t>
  </si>
  <si>
    <t xml:space="preserve">EM; Sponsor</t>
  </si>
  <si>
    <t xml:space="preserve">Communication plan &amp; cadence established</t>
  </si>
  <si>
    <t xml:space="preserve">EM; CustPM</t>
  </si>
  <si>
    <t xml:space="preserve">Risk register initialized</t>
  </si>
  <si>
    <t xml:space="preserve">EM, PC; CustPM</t>
  </si>
  <si>
    <t xml:space="preserve">Foundation Data Pack distributed to customer</t>
  </si>
  <si>
    <t xml:space="preserve">PC; CustPM; SME-ITSM</t>
  </si>
  <si>
    <t xml:space="preserve">Stakeholder mapping completed</t>
  </si>
  <si>
    <t xml:space="preserve">EM; CustPM; Sponsor</t>
  </si>
  <si>
    <t xml:space="preserve">Sprint 0 readiness validation (ECS checklist)</t>
  </si>
  <si>
    <t xml:space="preserve">EM; SA; CustPM</t>
  </si>
  <si>
    <t xml:space="preserve">0 days</t>
  </si>
  <si>
    <t xml:space="preserve">SA, PC; EM; CustPM, TechLead; SME-ITSM</t>
  </si>
  <si>
    <t xml:space="preserve">Sprint 1 planning session</t>
  </si>
  <si>
    <t xml:space="preserve">EM, SA; PC, TC; CustPM</t>
  </si>
  <si>
    <t xml:space="preserve">Platform architecture stand-up &amp; baseline configuration</t>
  </si>
  <si>
    <t xml:space="preserve">CSDM definition workshop</t>
  </si>
  <si>
    <t xml:space="preserve">SA, PC; CustPM, TechLead; SME-ITSM</t>
  </si>
  <si>
    <t xml:space="preserve">CSDM validation against ServiceNow data model</t>
  </si>
  <si>
    <t xml:space="preserve">SA; TC; TechLead</t>
  </si>
  <si>
    <t xml:space="preserve">ITSM design workshop — Incident Management</t>
  </si>
  <si>
    <t xml:space="preserve">PC; SA; SME-ITSM; CustPM</t>
  </si>
  <si>
    <t xml:space="preserve">ITSM design workshop — Problem Management</t>
  </si>
  <si>
    <t xml:space="preserve">PC; SA; SME-ITSM</t>
  </si>
  <si>
    <t xml:space="preserve">ITSM design workshop — Request Management</t>
  </si>
  <si>
    <t xml:space="preserve">PC; SA; SME-ITSM; SME-Catalog</t>
  </si>
  <si>
    <t xml:space="preserve">Foundation Data Pack review — users, groups, locations</t>
  </si>
  <si>
    <t xml:space="preserve">PC; TC; SME-ITSM; TechLead</t>
  </si>
  <si>
    <t xml:space="preserve">Assignment rules &amp; SLA design review</t>
  </si>
  <si>
    <t xml:space="preserve">Sprint 1 demo</t>
  </si>
  <si>
    <t xml:space="preserve">SA, PC; EM; Sponsor, CustPM; TechLead, SME-ITSM</t>
  </si>
  <si>
    <t xml:space="preserve">Sprint 1 retro</t>
  </si>
  <si>
    <t xml:space="preserve">EM; SA, PC; CustPM</t>
  </si>
  <si>
    <t xml:space="preserve">SA, TC; PC; TechLead; SME-ITSM</t>
  </si>
  <si>
    <t xml:space="preserve">Sprint 2 planning session</t>
  </si>
  <si>
    <t xml:space="preserve">Discovery tool installation &amp; network scan configuration</t>
  </si>
  <si>
    <t xml:space="preserve">Service Graph Connectors — SCCM / Intune porting</t>
  </si>
  <si>
    <t xml:space="preserve">4 days</t>
  </si>
  <si>
    <t xml:space="preserve">CMDB normalization — scope &amp; approach workshop</t>
  </si>
  <si>
    <t xml:space="preserve">SA, PC; TechLead; CustPM</t>
  </si>
  <si>
    <t xml:space="preserve">CI class selection workshop</t>
  </si>
  <si>
    <t xml:space="preserve">SA; PC; TechLead; SME-ITSM</t>
  </si>
  <si>
    <t xml:space="preserve">Initial CMDB data load &amp; relationship validation</t>
  </si>
  <si>
    <t xml:space="preserve">Service catalog — category structure design workshop</t>
  </si>
  <si>
    <t xml:space="preserve">PC; SA; SME-Catalog; CustPM</t>
  </si>
  <si>
    <t xml:space="preserve">Service catalog — item inventory &amp; prioritization</t>
  </si>
  <si>
    <t xml:space="preserve">PC; SME-Catalog</t>
  </si>
  <si>
    <t xml:space="preserve">Sprint 2 demo</t>
  </si>
  <si>
    <t xml:space="preserve">SA, TC; EM; Sponsor, CustPM; TechLead</t>
  </si>
  <si>
    <t xml:space="preserve">Sprint 2 retro</t>
  </si>
  <si>
    <t xml:space="preserve">PC, TC; SA; SME-ITSM; TechLead</t>
  </si>
  <si>
    <t xml:space="preserve">Sprint 3 planning session</t>
  </si>
  <si>
    <t xml:space="preserve">Incident Management — OOTB configuration</t>
  </si>
  <si>
    <t xml:space="preserve">PC, TC; SA; SME-ITSM</t>
  </si>
  <si>
    <t xml:space="preserve">Major Incident Management configuration</t>
  </si>
  <si>
    <t xml:space="preserve">PC, TC; SME-ITSM</t>
  </si>
  <si>
    <t xml:space="preserve">Problem Management configuration</t>
  </si>
  <si>
    <t xml:space="preserve">Request Management configuration (RITM + catalog flow)</t>
  </si>
  <si>
    <t xml:space="preserve">PC, TC; SME-ITSM; SME-Catalog</t>
  </si>
  <si>
    <t xml:space="preserve">SLA configuration &amp; testing</t>
  </si>
  <si>
    <t xml:space="preserve">Assignment rules configuration</t>
  </si>
  <si>
    <t xml:space="preserve">PC, TC; SME-ITSM; TechLead</t>
  </si>
  <si>
    <t xml:space="preserve">Approval workflow configuration</t>
  </si>
  <si>
    <t xml:space="preserve">Notifications configuration</t>
  </si>
  <si>
    <t xml:space="preserve">TC; PC; SME-ITSM</t>
  </si>
  <si>
    <t xml:space="preserve">Sprint 3 demo — ITSM Core</t>
  </si>
  <si>
    <t xml:space="preserve">PC, TC; EM; Sponsor, CustPM; SME-ITSM</t>
  </si>
  <si>
    <t xml:space="preserve">Sprint 3 retro</t>
  </si>
  <si>
    <t xml:space="preserve">EM; PC; CustPM</t>
  </si>
  <si>
    <t xml:space="preserve">PC, TC; SA; SME-ITSM, SME-Catalog; CustPM</t>
  </si>
  <si>
    <t xml:space="preserve">Sprint 4 planning session</t>
  </si>
  <si>
    <t xml:space="preserve">Change Management — OOTB configuration</t>
  </si>
  <si>
    <t xml:space="preserve">CAB Workbench setup &amp; CAB process design</t>
  </si>
  <si>
    <t xml:space="preserve">PC; TC; SME-ITSM; Sponsor</t>
  </si>
  <si>
    <t xml:space="preserve">Service catalog — item build batch 1 (items 1–5)</t>
  </si>
  <si>
    <t xml:space="preserve">PC, TC; SME-Catalog</t>
  </si>
  <si>
    <t xml:space="preserve">Service catalog — item build batch 2 (items 6–10)</t>
  </si>
  <si>
    <t xml:space="preserve">Fulfillment workflow configuration</t>
  </si>
  <si>
    <t xml:space="preserve">TC; PC; SME-Catalog</t>
  </si>
  <si>
    <t xml:space="preserve">Employee Center portal — baseline setup</t>
  </si>
  <si>
    <t xml:space="preserve">TC; PC; SME-HR; TechLead</t>
  </si>
  <si>
    <t xml:space="preserve">Sprint 4 demo — Change, Catalog, Employee Center</t>
  </si>
  <si>
    <t xml:space="preserve">PC, TC; EM; Sponsor, CustPM; SME-ITSM, SME-Catalog</t>
  </si>
  <si>
    <t xml:space="preserve">Sprint 4 retro</t>
  </si>
  <si>
    <t xml:space="preserve">PC, TC; SA; SME-HR, CustPM; TechLead</t>
  </si>
  <si>
    <t xml:space="preserve">Sprint 5 planning session</t>
  </si>
  <si>
    <t xml:space="preserve">Employee Center — branding, navigation &amp; content finalization</t>
  </si>
  <si>
    <t xml:space="preserve">Knowledge Management — article structure &amp; curation</t>
  </si>
  <si>
    <t xml:space="preserve">PC; TC; SME-ITSM, SME-HR</t>
  </si>
  <si>
    <t xml:space="preserve">Virtual Agent — topic design workshop</t>
  </si>
  <si>
    <t xml:space="preserve">PC; SA; SME-ITSM, SME-HR; CustPM</t>
  </si>
  <si>
    <t xml:space="preserve">Virtual Agent — priority topic build &amp; testing</t>
  </si>
  <si>
    <t xml:space="preserve">Predictive Intelligence — data readiness validation</t>
  </si>
  <si>
    <t xml:space="preserve">Platform Analytics — dashboard &amp; KPI design workshop</t>
  </si>
  <si>
    <t xml:space="preserve">PC; SA; CustPM, Sponsor; SME-ITSM</t>
  </si>
  <si>
    <t xml:space="preserve">Platform Analytics — KPI and dashboard configuration</t>
  </si>
  <si>
    <t xml:space="preserve">TC; PC; CustPM</t>
  </si>
  <si>
    <t xml:space="preserve">Sprint 5 demo — Employee Experience &amp; Analytics</t>
  </si>
  <si>
    <t xml:space="preserve">PC, TC; EM; Sponsor, CustPM; SME-HR, SME-ITSM</t>
  </si>
  <si>
    <t xml:space="preserve">Sprint 5 retro</t>
  </si>
  <si>
    <t xml:space="preserve">SA, TC; PC; SME-Asset, TechLead; CustPM</t>
  </si>
  <si>
    <t xml:space="preserve">Sprint 6 planning session</t>
  </si>
  <si>
    <t xml:space="preserve">HAM Foundations — stockrooms, asset classes &amp; models</t>
  </si>
  <si>
    <t xml:space="preserve">SA, TC; SME-Asset; TechLead</t>
  </si>
  <si>
    <t xml:space="preserve">HAM Realization — lifecycle states &amp; IMAC workflow config</t>
  </si>
  <si>
    <t xml:space="preserve">TC; SA; SME-Asset</t>
  </si>
  <si>
    <t xml:space="preserve">Service catalog — remaining items build (items 11–15)</t>
  </si>
  <si>
    <t xml:space="preserve">Integration testing — all integrations (AD, SSO, SCCM, Intune)</t>
  </si>
  <si>
    <t xml:space="preserve">Environment stabilization &amp; performance testing</t>
  </si>
  <si>
    <t xml:space="preserve">Sprint 6 demo — HAM, Catalog, Stabilization</t>
  </si>
  <si>
    <t xml:space="preserve">SA, TC; EM; Sponsor, CustPM; SME-Asset</t>
  </si>
  <si>
    <t xml:space="preserve">Sprint 6 retro</t>
  </si>
  <si>
    <t xml:space="preserve">PC, EM; SA, TC; CustPM; SME-ITSM, SME-Catalog, SME-HR, SME-Asset, End-Users</t>
  </si>
  <si>
    <t xml:space="preserve">UAT test scenarios distributed to customer</t>
  </si>
  <si>
    <t xml:space="preserve">PC; CustPM</t>
  </si>
  <si>
    <t xml:space="preserve">UAT kickoff &amp; tester orientation</t>
  </si>
  <si>
    <t xml:space="preserve">EM, PC; CustPM; SME-ITSM, SME-Catalog, SME-HR, SME-Asset</t>
  </si>
  <si>
    <t xml:space="preserve">UAT execution — ITSM (Incident, Problem, Change, Request)</t>
  </si>
  <si>
    <t xml:space="preserve">PC; TC; SME-ITSM; End-Users</t>
  </si>
  <si>
    <t xml:space="preserve">UAT execution — Service Catalog &amp; Employee Center</t>
  </si>
  <si>
    <t xml:space="preserve">PC; TC; SME-Catalog, SME-HR; End-Users</t>
  </si>
  <si>
    <t xml:space="preserve">UAT execution — Virtual Agent &amp; Knowledge</t>
  </si>
  <si>
    <t xml:space="preserve">PC; TC; SME-HR, SME-ITSM; End-Users</t>
  </si>
  <si>
    <t xml:space="preserve">UAT execution — HAM lifecycle</t>
  </si>
  <si>
    <t xml:space="preserve">SA; TC; SME-Asset</t>
  </si>
  <si>
    <t xml:space="preserve">UAT defect triage &amp; remediation</t>
  </si>
  <si>
    <t xml:space="preserve">PC, TC; SA; CustPM; SME-ITSM</t>
  </si>
  <si>
    <t xml:space="preserve">UAT sign-off (customer)</t>
  </si>
  <si>
    <t xml:space="preserve">EM; Sponsor, CustPM</t>
  </si>
  <si>
    <t xml:space="preserve">EM, SA; TC, PC; Sponsor, CustPM; TechLead</t>
  </si>
  <si>
    <t xml:space="preserve">Go-live checklist completion &amp; readiness review</t>
  </si>
  <si>
    <t xml:space="preserve">Go-live execution — production cutover</t>
  </si>
  <si>
    <t xml:space="preserve">SA, TC; EM; TechLead; Sponsor</t>
  </si>
  <si>
    <t xml:space="preserve">8 days</t>
  </si>
  <si>
    <t xml:space="preserve">EM, PC; SA, TC; CustPM; SME-ITSM, TechLead</t>
  </si>
  <si>
    <t xml:space="preserve">Daily stand-ups &amp; production issue triage</t>
  </si>
  <si>
    <t xml:space="preserve">6 days</t>
  </si>
  <si>
    <t xml:space="preserve">EM, PC; TC; CustPM</t>
  </si>
  <si>
    <t xml:space="preserve">Knowledge transfer sessions — process area owners</t>
  </si>
  <si>
    <t xml:space="preserve">PC, SA; SME-ITSM, SME-Catalog, SME-HR, SME-Asset; TechLead</t>
  </si>
  <si>
    <t xml:space="preserve">Operational handoff documentation</t>
  </si>
  <si>
    <t xml:space="preserve">PC; SA; CustPM; TechLead</t>
  </si>
  <si>
    <t xml:space="preserve">Post-go-live ownership matrix finalized</t>
  </si>
  <si>
    <t xml:space="preserve">Engagement closeout &amp; lessons learned</t>
  </si>
  <si>
    <t xml:space="preserve">EM; PM; Sponsor; CustPM</t>
  </si>
  <si>
    <t xml:space="preserve">Continuous improvement roadmap delivered</t>
  </si>
  <si>
    <t xml:space="preserve">PC, SA; Sponsor, CustPM</t>
  </si>
  <si>
    <t xml:space="preserve">Weekly status report (ECS EM → Customer PM)</t>
  </si>
  <si>
    <t xml:space="preserve">Bi-weekly sponsor sync (EM + Sponsor)</t>
  </si>
  <si>
    <t xml:space="preserve">Customization Council review (monthly)</t>
  </si>
  <si>
    <t xml:space="preserve">EM, SA; PC; Sponsor, CustPM</t>
  </si>
  <si>
    <t xml:space="preserve">SNow PPM IMPORT SHEET — Fields map to ServiceNow Project Task table (pm_project_task). Import via: Project &gt; Import Tasks &gt; Excel/CSV. Dates pull from 'Project Plan' tab.</t>
  </si>
  <si>
    <t xml:space="preserve">task_number</t>
  </si>
  <si>
    <t xml:space="preserve">short_description</t>
  </si>
  <si>
    <t xml:space="preserve">parent_task</t>
  </si>
  <si>
    <t xml:space="preserve">phase</t>
  </si>
  <si>
    <t xml:space="preserve">planned_start_date</t>
  </si>
  <si>
    <t xml:space="preserve">planned_end_date</t>
  </si>
  <si>
    <t xml:space="preserve">duration_days</t>
  </si>
  <si>
    <t xml:space="preserve">state</t>
  </si>
  <si>
    <t xml:space="preserve">assigned_to_role</t>
  </si>
  <si>
    <t xml:space="preserve">description</t>
  </si>
  <si>
    <t xml:space="preserve">predecessors</t>
  </si>
  <si>
    <t xml:space="preserve">ECS-001</t>
  </si>
  <si>
    <t xml:space="preserve">Open</t>
  </si>
  <si>
    <t xml:space="preserve">ECS-002</t>
  </si>
  <si>
    <t xml:space="preserve">ECS-003</t>
  </si>
  <si>
    <t xml:space="preserve">ECS-004</t>
  </si>
  <si>
    <t xml:space="preserve">EM, SA; Sponsor, CustPM</t>
  </si>
  <si>
    <t xml:space="preserve">ECS-005</t>
  </si>
  <si>
    <t xml:space="preserve">ECS-006</t>
  </si>
  <si>
    <t xml:space="preserve">TC; TechLead</t>
  </si>
  <si>
    <t xml:space="preserve">ECS-007</t>
  </si>
  <si>
    <t xml:space="preserve">EM, PC; Sponsor, CustPM</t>
  </si>
  <si>
    <t xml:space="preserve">ECS-008</t>
  </si>
  <si>
    <t xml:space="preserve">ECS-009</t>
  </si>
  <si>
    <t xml:space="preserve">ECS-010</t>
  </si>
  <si>
    <t xml:space="preserve">ECS-011</t>
  </si>
  <si>
    <t xml:space="preserve">ECS-012</t>
  </si>
  <si>
    <t xml:space="preserve">ECS-013</t>
  </si>
  <si>
    <t xml:space="preserve">ECS-014</t>
  </si>
  <si>
    <t xml:space="preserve">ECS-015</t>
  </si>
  <si>
    <t xml:space="preserve">SA, PC; CustPM, TechLead</t>
  </si>
  <si>
    <t xml:space="preserve">ECS-016</t>
  </si>
  <si>
    <t xml:space="preserve">EM, SA; CustPM</t>
  </si>
  <si>
    <t xml:space="preserve">ECS-017</t>
  </si>
  <si>
    <t xml:space="preserve">ECS-018</t>
  </si>
  <si>
    <t xml:space="preserve">ECS-019</t>
  </si>
  <si>
    <t xml:space="preserve">SA; TechLead</t>
  </si>
  <si>
    <t xml:space="preserve">ECS-020</t>
  </si>
  <si>
    <t xml:space="preserve">PC; SME-ITSM</t>
  </si>
  <si>
    <t xml:space="preserve">ECS-021</t>
  </si>
  <si>
    <t xml:space="preserve">ECS-022</t>
  </si>
  <si>
    <t xml:space="preserve">ECS-023</t>
  </si>
  <si>
    <t xml:space="preserve">ECS-024</t>
  </si>
  <si>
    <t xml:space="preserve">ECS-025</t>
  </si>
  <si>
    <t xml:space="preserve">SA, PC; Sponsor, CustPM</t>
  </si>
  <si>
    <t xml:space="preserve">ECS-026</t>
  </si>
  <si>
    <t xml:space="preserve">ECS-027</t>
  </si>
  <si>
    <t xml:space="preserve">ECS-028</t>
  </si>
  <si>
    <t xml:space="preserve">ECS-029</t>
  </si>
  <si>
    <t xml:space="preserve">ECS-030</t>
  </si>
  <si>
    <t xml:space="preserve">ECS-031</t>
  </si>
  <si>
    <t xml:space="preserve">ECS-032</t>
  </si>
  <si>
    <t xml:space="preserve">SA, PC; TechLead</t>
  </si>
  <si>
    <t xml:space="preserve">ECS-033</t>
  </si>
  <si>
    <t xml:space="preserve">ECS-034</t>
  </si>
  <si>
    <t xml:space="preserve">ECS-035</t>
  </si>
  <si>
    <t xml:space="preserve">ECS-036</t>
  </si>
  <si>
    <t xml:space="preserve">ECS-037</t>
  </si>
  <si>
    <t xml:space="preserve">SA, TC; Sponsor, CustPM</t>
  </si>
  <si>
    <t xml:space="preserve">ECS-038</t>
  </si>
  <si>
    <t xml:space="preserve">ECS-039</t>
  </si>
  <si>
    <t xml:space="preserve">ECS-040</t>
  </si>
  <si>
    <t xml:space="preserve">ECS-041</t>
  </si>
  <si>
    <t xml:space="preserve">ECS-042</t>
  </si>
  <si>
    <t xml:space="preserve">ECS-043</t>
  </si>
  <si>
    <t xml:space="preserve">ECS-044</t>
  </si>
  <si>
    <t xml:space="preserve">ECS-045</t>
  </si>
  <si>
    <t xml:space="preserve">ECS-046</t>
  </si>
  <si>
    <t xml:space="preserve">ECS-047</t>
  </si>
  <si>
    <t xml:space="preserve">ECS-048</t>
  </si>
  <si>
    <t xml:space="preserve">ECS-049</t>
  </si>
  <si>
    <t xml:space="preserve">TC; SME-ITSM</t>
  </si>
  <si>
    <t xml:space="preserve">ECS-050</t>
  </si>
  <si>
    <t xml:space="preserve">PC, TC; Sponsor, CustPM</t>
  </si>
  <si>
    <t xml:space="preserve">ECS-051</t>
  </si>
  <si>
    <t xml:space="preserve">ECS-052</t>
  </si>
  <si>
    <t xml:space="preserve">ECS-053</t>
  </si>
  <si>
    <t xml:space="preserve">PC, TC; SME-ITSM, SME-Catalog</t>
  </si>
  <si>
    <t xml:space="preserve">ECS-054</t>
  </si>
  <si>
    <t xml:space="preserve">ECS-055</t>
  </si>
  <si>
    <t xml:space="preserve">ECS-056</t>
  </si>
  <si>
    <t xml:space="preserve">ECS-057</t>
  </si>
  <si>
    <t xml:space="preserve">ECS-058</t>
  </si>
  <si>
    <t xml:space="preserve">ECS-059</t>
  </si>
  <si>
    <t xml:space="preserve">TC; SME-Catalog</t>
  </si>
  <si>
    <t xml:space="preserve">ECS-060</t>
  </si>
  <si>
    <t xml:space="preserve">TC; SME-HR</t>
  </si>
  <si>
    <t xml:space="preserve">ECS-061</t>
  </si>
  <si>
    <t xml:space="preserve">ECS-062</t>
  </si>
  <si>
    <t xml:space="preserve">ECS-063</t>
  </si>
  <si>
    <t xml:space="preserve">ECS-064</t>
  </si>
  <si>
    <t xml:space="preserve">PC, TC; SME-HR, CustPM</t>
  </si>
  <si>
    <t xml:space="preserve">ECS-065</t>
  </si>
  <si>
    <t xml:space="preserve">ECS-066</t>
  </si>
  <si>
    <t xml:space="preserve">ECS-067</t>
  </si>
  <si>
    <t xml:space="preserve">PC; SME-ITSM, SME-HR</t>
  </si>
  <si>
    <t xml:space="preserve">ECS-068</t>
  </si>
  <si>
    <t xml:space="preserve">ECS-069</t>
  </si>
  <si>
    <t xml:space="preserve">ECS-070</t>
  </si>
  <si>
    <t xml:space="preserve">ECS-071</t>
  </si>
  <si>
    <t xml:space="preserve">PC; CustPM, Sponsor</t>
  </si>
  <si>
    <t xml:space="preserve">ECS-072</t>
  </si>
  <si>
    <t xml:space="preserve">TC; CustPM</t>
  </si>
  <si>
    <t xml:space="preserve">ECS-073</t>
  </si>
  <si>
    <t xml:space="preserve">ECS-074</t>
  </si>
  <si>
    <t xml:space="preserve">ECS-075</t>
  </si>
  <si>
    <t xml:space="preserve">ECS-076</t>
  </si>
  <si>
    <t xml:space="preserve">SA, TC; SME-Asset, TechLead</t>
  </si>
  <si>
    <t xml:space="preserve">ECS-077</t>
  </si>
  <si>
    <t xml:space="preserve">ECS-078</t>
  </si>
  <si>
    <t xml:space="preserve">SA, TC; SME-Asset</t>
  </si>
  <si>
    <t xml:space="preserve">ECS-079</t>
  </si>
  <si>
    <t xml:space="preserve">TC; SME-Asset</t>
  </si>
  <si>
    <t xml:space="preserve">ECS-080</t>
  </si>
  <si>
    <t xml:space="preserve">ECS-081</t>
  </si>
  <si>
    <t xml:space="preserve">ECS-082</t>
  </si>
  <si>
    <t xml:space="preserve">ECS-083</t>
  </si>
  <si>
    <t xml:space="preserve">ECS-084</t>
  </si>
  <si>
    <t xml:space="preserve">ECS-085</t>
  </si>
  <si>
    <t xml:space="preserve">ECS-086</t>
  </si>
  <si>
    <t xml:space="preserve">PC, EM; CustPM</t>
  </si>
  <si>
    <t xml:space="preserve">ECS-087</t>
  </si>
  <si>
    <t xml:space="preserve">ECS-088</t>
  </si>
  <si>
    <t xml:space="preserve">ECS-089</t>
  </si>
  <si>
    <t xml:space="preserve">ECS-090</t>
  </si>
  <si>
    <t xml:space="preserve">PC; SME-Catalog, SME-HR</t>
  </si>
  <si>
    <t xml:space="preserve">ECS-091</t>
  </si>
  <si>
    <t xml:space="preserve">PC; SME-HR, SME-ITSM</t>
  </si>
  <si>
    <t xml:space="preserve">ECS-092</t>
  </si>
  <si>
    <t xml:space="preserve">SA; SME-Asset</t>
  </si>
  <si>
    <t xml:space="preserve">ECS-093</t>
  </si>
  <si>
    <t xml:space="preserve">PC, TC; CustPM</t>
  </si>
  <si>
    <t xml:space="preserve">ECS-094</t>
  </si>
  <si>
    <t xml:space="preserve">ECS-095</t>
  </si>
  <si>
    <t xml:space="preserve">ECS-096</t>
  </si>
  <si>
    <t xml:space="preserve">ECS-097</t>
  </si>
  <si>
    <t xml:space="preserve">ECS-098</t>
  </si>
  <si>
    <t xml:space="preserve">ECS-099</t>
  </si>
  <si>
    <t xml:space="preserve">ECS-100</t>
  </si>
  <si>
    <t xml:space="preserve">ECS-101</t>
  </si>
  <si>
    <t xml:space="preserve">ECS-102</t>
  </si>
  <si>
    <t xml:space="preserve">PC, SA; SME-ITSM, SME-Catalog, SME-HR, SME-Asset</t>
  </si>
  <si>
    <t xml:space="preserve">ECS-103</t>
  </si>
  <si>
    <t xml:space="preserve">ECS-104</t>
  </si>
  <si>
    <t xml:space="preserve">ECS-105</t>
  </si>
  <si>
    <t xml:space="preserve">ECS-106</t>
  </si>
  <si>
    <t xml:space="preserve">ECS-107</t>
  </si>
  <si>
    <t xml:space="preserve">ECS-108</t>
  </si>
  <si>
    <t xml:space="preserve">ECS-109</t>
  </si>
  <si>
    <t xml:space="preserve">ECS-110</t>
  </si>
  <si>
    <t xml:space="preserve">ECS FEDERAL — ENGAGEMENT ROLES REFERENCE</t>
  </si>
  <si>
    <t xml:space="preserve">CODE</t>
  </si>
  <si>
    <t xml:space="preserve">ROLE TITLE</t>
  </si>
  <si>
    <t xml:space="preserve">TEAM</t>
  </si>
  <si>
    <t xml:space="preserve">RESPONSIBILITIES</t>
  </si>
  <si>
    <t xml:space="preserve">TYPICAL FTE COMMITMENT</t>
  </si>
  <si>
    <t xml:space="preserve">Engagement Manager</t>
  </si>
  <si>
    <t xml:space="preserve">ECS</t>
  </si>
  <si>
    <t xml:space="preserve">Overall engagement delivery, governance, escalation, sponsor relationship, risk management.</t>
  </si>
  <si>
    <t xml:space="preserve">100% during engagement</t>
  </si>
  <si>
    <t xml:space="preserve">Solution Architect</t>
  </si>
  <si>
    <t xml:space="preserve">Platform architecture, CSDM, technical decisions, accelerator pack design, integration oversight.</t>
  </si>
  <si>
    <t xml:space="preserve">Process Consultant</t>
  </si>
  <si>
    <t xml:space="preserve">Workshops facilitation, OOTB defense, discipline how-to guides, UAT support, training.</t>
  </si>
  <si>
    <t xml:space="preserve">Technical Consultant</t>
  </si>
  <si>
    <t xml:space="preserve">ServiceNow configuration, scripting (minimal), data loads, integration builds.</t>
  </si>
  <si>
    <t xml:space="preserve">Practice Manager</t>
  </si>
  <si>
    <t xml:space="preserve">Practice oversight, trust-but-verify reviews, escalation authority, lessons learned.</t>
  </si>
  <si>
    <t xml:space="preserve">20% throughout</t>
  </si>
  <si>
    <t xml:space="preserve">Project Sponsor</t>
  </si>
  <si>
    <t xml:space="preserve">Customer</t>
  </si>
  <si>
    <t xml:space="preserve">Executive decisions, budget authority, customization council, go-live authorization.</t>
  </si>
  <si>
    <t xml:space="preserve">4–8 hrs/week</t>
  </si>
  <si>
    <t xml:space="preserve">Customer Project Manager</t>
  </si>
  <si>
    <t xml:space="preserve">Day-to-day coordination, SME scheduling, status reporting to sponsor, action item tracking.</t>
  </si>
  <si>
    <t xml:space="preserve">50–100% during engagement</t>
  </si>
  <si>
    <t xml:space="preserve">Customer Technical Lead</t>
  </si>
  <si>
    <t xml:space="preserve">Environment access, integration credentials, CI/CD pipeline, technical approvals.</t>
  </si>
  <si>
    <t xml:space="preserve">25–50% during engagement</t>
  </si>
  <si>
    <t xml:space="preserve">ITSM Subject Matter Expert</t>
  </si>
  <si>
    <t xml:space="preserve">Process decisions for Incident, Problem, Change, Request. Workshop participation.</t>
  </si>
  <si>
    <t xml:space="preserve">50% during relevant sprints</t>
  </si>
  <si>
    <t xml:space="preserve">Catalog SME</t>
  </si>
  <si>
    <t xml:space="preserve">Catalog item content, category decisions, fulfillment workflow approvals.</t>
  </si>
  <si>
    <t xml:space="preserve">50% during Sprints 2, 4, 6</t>
  </si>
  <si>
    <t xml:space="preserve">HR / Employee Exp SME</t>
  </si>
  <si>
    <t xml:space="preserve">Employee Center content, Virtual Agent topics, knowledge article content.</t>
  </si>
  <si>
    <t xml:space="preserve">50% during Sprint 5</t>
  </si>
  <si>
    <t xml:space="preserve">Asset Management SME</t>
  </si>
  <si>
    <t xml:space="preserve">HAM scope, stockroom structure, lifecycle workflow decisions.</t>
  </si>
  <si>
    <t xml:space="preserve">50% during Sprint 6</t>
  </si>
  <si>
    <t xml:space="preserve">UAT Testers</t>
  </si>
  <si>
    <t xml:space="preserve">Execute UAT test scenarios per process area. Log defects via ECS defect template.</t>
  </si>
  <si>
    <t xml:space="preserve">100% during UAT (Weeks 15–16)</t>
  </si>
  <si>
    <t xml:space="preserve">RACI LEGEND</t>
  </si>
  <si>
    <t xml:space="preserve">R</t>
  </si>
  <si>
    <t xml:space="preserve">Responsible</t>
  </si>
  <si>
    <t xml:space="preserve">Does the work. Assigned as ECS Primary or Customer Primary.</t>
  </si>
  <si>
    <t xml:space="preserve">A</t>
  </si>
  <si>
    <t xml:space="preserve">Accountable</t>
  </si>
  <si>
    <t xml:space="preserve">Owns the outcome. One person per task.</t>
  </si>
  <si>
    <t xml:space="preserve">C</t>
  </si>
  <si>
    <t xml:space="preserve">Consulted</t>
  </si>
  <si>
    <t xml:space="preserve">Provides input. Assigned as ECS Support or Customer Support.</t>
  </si>
  <si>
    <t xml:space="preserve">I</t>
  </si>
  <si>
    <t xml:space="preserve">Informed</t>
  </si>
  <si>
    <t xml:space="preserve">Receives status updates. Tracked via Governance cadence.</t>
  </si>
  <si>
    <t xml:space="preserve">HOW TO USE THIS PROJECT PLAN</t>
  </si>
  <si>
    <t xml:space="preserve">STEP</t>
  </si>
  <si>
    <t xml:space="preserve">INSTRUCTION</t>
  </si>
  <si>
    <t xml:space="preserve">WHERE</t>
  </si>
  <si>
    <t xml:space="preserve">1. Set Start Date</t>
  </si>
  <si>
    <t xml:space="preserve">Go to the 'Project Plan' tab. In cell B3, enter your engagement start date (first Monday of Sprint 0). All 110 task dates recalculate automatically via WORKDAY formulas.</t>
  </si>
  <si>
    <t xml:space="preserve">Project Plan · B3</t>
  </si>
  <si>
    <t xml:space="preserve">2. Tailor the Plan</t>
  </si>
  <si>
    <t xml:space="preserve">Adjust task names, durations, and dependencies to match your specific engagement scope. Add customer-specific tasks in the appropriate sprint section. Do not change column order — the MS Project import depends on it.</t>
  </si>
  <si>
    <t xml:space="preserve">Project Plan</t>
  </si>
  <si>
    <t xml:space="preserve">3. Import to MS Project</t>
  </si>
  <si>
    <t xml:space="preserve">Go to the 'MS Project Import' tab. Save that sheet as CSV (UTF-8). Open MS Project &gt; File &gt; Import &gt; CSV. Map: Name→Name, Duration→Duration, Start→Start, Finish→Finish, Predecessors→Predecessors, Resource Names→Resource Names. Select 'Create a new project'. Set working calendar to match your engagement.</t>
  </si>
  <si>
    <t xml:space="preserve">MS Project Import tab</t>
  </si>
  <si>
    <t xml:space="preserve">4. Import to ServiceNow PPM</t>
  </si>
  <si>
    <t xml:space="preserve">Go to the 'SNow PPM Import' tab. Copy the data range (headers + rows). In ServiceNow: Modules &gt; Project &gt; Projects &gt; [your project] &gt; Task Import. Paste or upload the CSV. Map fields: short_description, planned_start_date, planned_end_date, assigned_to_role, description. The task_number field becomes the display number in SNow.</t>
  </si>
  <si>
    <t xml:space="preserve">SNow PPM Import tab</t>
  </si>
  <si>
    <t xml:space="preserve">5. Track Status</t>
  </si>
  <si>
    <t xml:space="preserve">Update the 'Status' column (col N) and '% Complete' column (col O) on the Project Plan tab throughout the engagement. Status values: Not Started / In Progress / Complete / Blocked.</t>
  </si>
  <si>
    <t xml:space="preserve">Project Plan · cols N, O</t>
  </si>
  <si>
    <t xml:space="preserve">6. Governance</t>
  </si>
  <si>
    <t xml:space="preserve">Rows 108–110 are recurring governance tasks (weekly status, bi-weekly sponsor sync, customization council). These are not in the MS Project/SNow import sheets — add them manually as recurring tasks in your project tool.</t>
  </si>
  <si>
    <t xml:space="preserve">Project Plan · rows 108–110</t>
  </si>
  <si>
    <t xml:space="preserve">7. Dependency Logic</t>
  </si>
  <si>
    <t xml:space="preserve">The Predecessors column lists task IDs (column A). A comma-separated list means 'finish-to-start' for all listed tasks. When a predecessor task date shifts, update the start_day offset in the source data and re-run, or adjust dates manually in MS Project/SNow after import.</t>
  </si>
  <si>
    <t xml:space="preserve">Project Plan · col I</t>
  </si>
  <si>
    <t xml:space="preserve">8. Roles</t>
  </si>
  <si>
    <t xml:space="preserve">See the 'Roles Reference' tab for full role definitions and RACI legend. ECS Primary = Responsible (does the work). Customer Primary = Accountable or key Consulted. Update role codes to match named individuals when running a live engagement.</t>
  </si>
  <si>
    <t xml:space="preserve">Roles Reference tab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</si>
</sst>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yyyy\-mm\-dd"/>
    <numFmt numFmtId="166" formatCode="0%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Calibri"/>
      <family val="0"/>
      <charset val="1"/>
    </font>
    <font>
      <i val="true"/>
      <sz val="9"/>
      <color rgb="FFFFFFFF"/>
      <name val="Calibri"/>
      <family val="0"/>
      <charset val="1"/>
    </font>
    <font>
      <b val="true"/>
      <sz val="10"/>
      <color rgb="FF0B1F3A"/>
      <name val="Calibri"/>
      <family val="0"/>
      <charset val="1"/>
    </font>
    <font>
      <b val="true"/>
      <sz val="10"/>
      <color rgb="FF0D9488"/>
      <name val="Calibri"/>
      <family val="0"/>
      <charset val="1"/>
    </font>
    <font>
      <i val="true"/>
      <sz val="9"/>
      <color rgb="FF475569"/>
      <name val="Calibri"/>
      <family val="0"/>
      <charset val="1"/>
    </font>
    <font>
      <b val="true"/>
      <sz val="9"/>
      <color rgb="FFFFFFFF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sz val="9"/>
      <color rgb="FF1A1A1A"/>
      <name val="Calibri"/>
      <family val="0"/>
      <charset val="1"/>
    </font>
    <font>
      <b val="true"/>
      <sz val="10"/>
      <color rgb="FFB45309"/>
      <name val="Calibri"/>
      <family val="0"/>
      <charset val="1"/>
    </font>
    <font>
      <sz val="9"/>
      <name val="Calibri"/>
      <family val="0"/>
      <charset val="1"/>
    </font>
    <font>
      <b val="true"/>
      <sz val="13"/>
      <color rgb="FFFFFFFF"/>
      <name val="Calibri"/>
      <family val="0"/>
      <charset val="1"/>
    </font>
    <font>
      <b val="true"/>
      <sz val="11"/>
      <color rgb="FF0B1F3A"/>
      <name val="Calibri"/>
      <family val="0"/>
      <charset val="1"/>
    </font>
    <font>
      <b val="true"/>
      <sz val="9"/>
      <name val="Calibri"/>
      <family val="0"/>
      <charset val="1"/>
    </font>
    <font>
      <b val="true"/>
      <sz val="9"/>
      <color rgb="FF1A1A1A"/>
      <name val="Calibri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0B1F3A"/>
        <bgColor rgb="FF1A1A1A"/>
      </patternFill>
    </fill>
    <fill>
      <patternFill patternType="solid">
        <fgColor rgb="FF0D9488"/>
        <bgColor rgb="FF008080"/>
      </patternFill>
    </fill>
    <fill>
      <patternFill patternType="solid">
        <fgColor rgb="FFFFFFFF"/>
        <bgColor rgb="FFF8FAFC"/>
      </patternFill>
    </fill>
    <fill>
      <patternFill patternType="solid">
        <fgColor rgb="FFF8FAFC"/>
        <bgColor rgb="FFFFFFFF"/>
      </patternFill>
    </fill>
    <fill>
      <patternFill patternType="solid">
        <fgColor rgb="FFFFF8E1"/>
        <bgColor rgb="FFF8FAFC"/>
      </patternFill>
    </fill>
    <fill>
      <patternFill patternType="solid">
        <fgColor rgb="FFE6FAF8"/>
        <bgColor rgb="FFF8FAFC"/>
      </patternFill>
    </fill>
  </fills>
  <borders count="4">
    <border diagonalUp="false" diagonalDown="false">
      <left/>
      <right/>
      <top/>
      <bottom/>
      <diagonal/>
    </border>
    <border diagonalUp="false" diagonalDown="false">
      <left/>
      <right/>
      <top/>
      <bottom style="medium">
        <color rgb="FF14B8A6"/>
      </bottom>
      <diagonal/>
    </border>
    <border diagonalUp="false" diagonalDown="false">
      <left/>
      <right style="thin">
        <color rgb="FFE2E8F0"/>
      </right>
      <top/>
      <bottom style="medium">
        <color rgb="FF14B8A6"/>
      </bottom>
      <diagonal/>
    </border>
    <border diagonalUp="false" diagonalDown="false">
      <left/>
      <right style="thin">
        <color rgb="FFE2E8F0"/>
      </right>
      <top/>
      <bottom style="thin">
        <color rgb="FFE2E8F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2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2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0" fillId="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0" fillId="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4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4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1" fillId="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1" fillId="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5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5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1" fillId="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1" fillId="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6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6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6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2" fillId="6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2" fillId="6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7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7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7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1" fillId="7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1" fillId="7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7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1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1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3" fillId="5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13" fillId="5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13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9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2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7" fillId="4" borderId="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1" fillId="4" borderId="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7" fillId="5" borderId="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1" fillId="5" borderId="3" xfId="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D9488"/>
      <rgbColor rgb="FFC0C0C0"/>
      <rgbColor rgb="FF808080"/>
      <rgbColor rgb="FF9999FF"/>
      <rgbColor rgb="FF993366"/>
      <rgbColor rgb="FFFFF8E1"/>
      <rgbColor rgb="FFE6FAF8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2E8F0"/>
      <rgbColor rgb="FFF8FAFC"/>
      <rgbColor rgb="FFFFFF99"/>
      <rgbColor rgb="FF99CCFF"/>
      <rgbColor rgb="FFFF99CC"/>
      <rgbColor rgb="FFCC99FF"/>
      <rgbColor rgb="FFFFCC99"/>
      <rgbColor rgb="FF3366FF"/>
      <rgbColor rgb="FF14B8A6"/>
      <rgbColor rgb="FF99CC00"/>
      <rgbColor rgb="FFFFCC00"/>
      <rgbColor rgb="FFFF9900"/>
      <rgbColor rgb="FFFF6600"/>
      <rgbColor rgb="FF475569"/>
      <rgbColor rgb="FF969696"/>
      <rgbColor rgb="FF0B1F3A"/>
      <rgbColor rgb="FF339966"/>
      <rgbColor rgb="FF003300"/>
      <rgbColor rgb="FF333300"/>
      <rgbColor rgb="FFB45309"/>
      <rgbColor rgb="FF993366"/>
      <rgbColor rgb="FF333399"/>
      <rgbColor rgb="FF1A1A1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1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8"/>
    <col collapsed="false" customWidth="true" hidden="false" outlineLevel="0" max="3" min="3" style="0" width="11"/>
    <col collapsed="false" customWidth="true" hidden="false" outlineLevel="0" max="4" min="4" style="0" width="10"/>
    <col collapsed="false" customWidth="true" hidden="false" outlineLevel="0" max="5" min="5" style="0" width="52"/>
    <col collapsed="false" customWidth="true" hidden="false" outlineLevel="0" max="6" min="6" style="0" width="10"/>
    <col collapsed="false" customWidth="true" hidden="false" outlineLevel="0" max="9" min="7" style="0" width="14"/>
    <col collapsed="false" customWidth="true" hidden="false" outlineLevel="0" max="11" min="10" style="0" width="16"/>
    <col collapsed="false" customWidth="true" hidden="false" outlineLevel="0" max="12" min="12" style="0" width="18"/>
    <col collapsed="false" customWidth="true" hidden="false" outlineLevel="0" max="13" min="13" style="0" width="16"/>
    <col collapsed="false" customWidth="true" hidden="false" outlineLevel="0" max="14" min="14" style="0" width="12"/>
    <col collapsed="false" customWidth="true" hidden="false" outlineLevel="0" max="15" min="15" style="0" width="10"/>
    <col collapsed="false" customWidth="true" hidden="false" outlineLevel="0" max="16" min="16" style="0" width="40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customFormat="false" ht="15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customFormat="false" ht="18" hidden="false" customHeight="true" outlineLevel="0" collapsed="false">
      <c r="A3" s="3" t="s">
        <v>2</v>
      </c>
      <c r="B3" s="4" t="n">
        <v>45901</v>
      </c>
      <c r="C3" s="5" t="s">
        <v>3</v>
      </c>
      <c r="D3" s="5"/>
      <c r="E3" s="5"/>
      <c r="F3" s="5"/>
      <c r="G3" s="5"/>
      <c r="H3" s="5"/>
    </row>
    <row r="4" customFormat="false" ht="13.5" hidden="false" customHeight="true" outlineLevel="0" collapsed="false">
      <c r="A4" s="6" t="s">
        <v>4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</row>
    <row r="5" customFormat="false" ht="6" hidden="false" customHeight="true" outlineLevel="0" collapsed="false"/>
    <row r="6" customFormat="false" ht="30" hidden="false" customHeight="true" outlineLevel="0" collapsed="false">
      <c r="A6" s="7" t="s">
        <v>5</v>
      </c>
      <c r="B6" s="7" t="s">
        <v>6</v>
      </c>
      <c r="C6" s="7" t="s">
        <v>7</v>
      </c>
      <c r="D6" s="7" t="s">
        <v>8</v>
      </c>
      <c r="E6" s="7" t="s">
        <v>9</v>
      </c>
      <c r="F6" s="7" t="s">
        <v>10</v>
      </c>
      <c r="G6" s="7" t="s">
        <v>11</v>
      </c>
      <c r="H6" s="7" t="s">
        <v>12</v>
      </c>
      <c r="I6" s="7" t="s">
        <v>13</v>
      </c>
      <c r="J6" s="7" t="s">
        <v>14</v>
      </c>
      <c r="K6" s="7" t="s">
        <v>15</v>
      </c>
      <c r="L6" s="7" t="s">
        <v>16</v>
      </c>
      <c r="M6" s="7" t="s">
        <v>17</v>
      </c>
      <c r="N6" s="7" t="s">
        <v>18</v>
      </c>
      <c r="O6" s="7" t="s">
        <v>19</v>
      </c>
      <c r="P6" s="7" t="s">
        <v>20</v>
      </c>
    </row>
    <row r="7" customFormat="false" ht="18" hidden="false" customHeight="true" outlineLevel="0" collapsed="false">
      <c r="A7" s="8" t="n">
        <v>1</v>
      </c>
      <c r="B7" s="9" t="s">
        <v>21</v>
      </c>
      <c r="C7" s="9" t="s">
        <v>22</v>
      </c>
      <c r="D7" s="9" t="s">
        <v>22</v>
      </c>
      <c r="E7" s="10" t="s">
        <v>23</v>
      </c>
      <c r="F7" s="8" t="n">
        <v>10</v>
      </c>
      <c r="G7" s="11" t="n">
        <f aca="false">WORKDAY($B$3,0)</f>
        <v>45901</v>
      </c>
      <c r="H7" s="11" t="n">
        <f aca="false">WORKDAY(G7,9)</f>
        <v>45912</v>
      </c>
      <c r="I7" s="8"/>
      <c r="J7" s="9" t="s">
        <v>24</v>
      </c>
      <c r="K7" s="9" t="s">
        <v>25</v>
      </c>
      <c r="L7" s="9" t="s">
        <v>26</v>
      </c>
      <c r="M7" s="9"/>
      <c r="N7" s="8" t="s">
        <v>27</v>
      </c>
      <c r="O7" s="12" t="n">
        <v>0</v>
      </c>
      <c r="P7" s="10" t="s">
        <v>28</v>
      </c>
    </row>
    <row r="8" customFormat="false" ht="15" hidden="false" customHeight="true" outlineLevel="0" collapsed="false">
      <c r="A8" s="13" t="n">
        <v>2</v>
      </c>
      <c r="B8" s="14" t="s">
        <v>29</v>
      </c>
      <c r="C8" s="14" t="s">
        <v>22</v>
      </c>
      <c r="D8" s="14" t="s">
        <v>22</v>
      </c>
      <c r="E8" s="15" t="s">
        <v>30</v>
      </c>
      <c r="F8" s="13" t="n">
        <v>1</v>
      </c>
      <c r="G8" s="16" t="n">
        <f aca="false">WORKDAY($B$3,0)</f>
        <v>45901</v>
      </c>
      <c r="H8" s="16" t="n">
        <f aca="false">WORKDAY(G8,0)</f>
        <v>45901</v>
      </c>
      <c r="I8" s="13"/>
      <c r="J8" s="14" t="s">
        <v>24</v>
      </c>
      <c r="K8" s="14" t="s">
        <v>31</v>
      </c>
      <c r="L8" s="14"/>
      <c r="M8" s="14"/>
      <c r="N8" s="13" t="s">
        <v>27</v>
      </c>
      <c r="O8" s="17" t="n">
        <v>0</v>
      </c>
      <c r="P8" s="15" t="s">
        <v>32</v>
      </c>
    </row>
    <row r="9" customFormat="false" ht="15" hidden="false" customHeight="true" outlineLevel="0" collapsed="false">
      <c r="A9" s="18" t="n">
        <v>3</v>
      </c>
      <c r="B9" s="19" t="s">
        <v>33</v>
      </c>
      <c r="C9" s="19" t="s">
        <v>22</v>
      </c>
      <c r="D9" s="19" t="s">
        <v>22</v>
      </c>
      <c r="E9" s="20" t="s">
        <v>34</v>
      </c>
      <c r="F9" s="18" t="n">
        <v>1</v>
      </c>
      <c r="G9" s="21" t="n">
        <f aca="false">WORKDAY($B$3,0)</f>
        <v>45901</v>
      </c>
      <c r="H9" s="21" t="n">
        <f aca="false">WORKDAY(G9,0)</f>
        <v>45901</v>
      </c>
      <c r="I9" s="18"/>
      <c r="J9" s="19" t="s">
        <v>24</v>
      </c>
      <c r="K9" s="19"/>
      <c r="L9" s="19" t="s">
        <v>35</v>
      </c>
      <c r="M9" s="19" t="s">
        <v>36</v>
      </c>
      <c r="N9" s="18" t="s">
        <v>27</v>
      </c>
      <c r="O9" s="22" t="n">
        <v>0</v>
      </c>
      <c r="P9" s="20" t="s">
        <v>37</v>
      </c>
    </row>
    <row r="10" customFormat="false" ht="15" hidden="false" customHeight="true" outlineLevel="0" collapsed="false">
      <c r="A10" s="13" t="n">
        <v>4</v>
      </c>
      <c r="B10" s="14" t="s">
        <v>38</v>
      </c>
      <c r="C10" s="14" t="s">
        <v>22</v>
      </c>
      <c r="D10" s="14" t="s">
        <v>22</v>
      </c>
      <c r="E10" s="15" t="s">
        <v>39</v>
      </c>
      <c r="F10" s="13" t="n">
        <v>1</v>
      </c>
      <c r="G10" s="16" t="n">
        <f aca="false">WORKDAY($B$3,1)</f>
        <v>45902</v>
      </c>
      <c r="H10" s="16" t="n">
        <f aca="false">WORKDAY(G10,0)</f>
        <v>45902</v>
      </c>
      <c r="I10" s="13" t="s">
        <v>40</v>
      </c>
      <c r="J10" s="14" t="s">
        <v>41</v>
      </c>
      <c r="K10" s="14" t="s">
        <v>42</v>
      </c>
      <c r="L10" s="14" t="s">
        <v>26</v>
      </c>
      <c r="M10" s="14" t="s">
        <v>43</v>
      </c>
      <c r="N10" s="13" t="s">
        <v>27</v>
      </c>
      <c r="O10" s="17" t="n">
        <v>0</v>
      </c>
      <c r="P10" s="15" t="s">
        <v>44</v>
      </c>
    </row>
    <row r="11" customFormat="false" ht="15" hidden="false" customHeight="true" outlineLevel="0" collapsed="false">
      <c r="A11" s="18" t="n">
        <v>5</v>
      </c>
      <c r="B11" s="19" t="s">
        <v>45</v>
      </c>
      <c r="C11" s="19" t="s">
        <v>22</v>
      </c>
      <c r="D11" s="19" t="s">
        <v>22</v>
      </c>
      <c r="E11" s="20" t="s">
        <v>46</v>
      </c>
      <c r="F11" s="18" t="n">
        <v>3</v>
      </c>
      <c r="G11" s="21" t="n">
        <f aca="false">WORKDAY($B$3,1)</f>
        <v>45902</v>
      </c>
      <c r="H11" s="21" t="n">
        <f aca="false">WORKDAY(G11,2)</f>
        <v>45904</v>
      </c>
      <c r="I11" s="18" t="s">
        <v>47</v>
      </c>
      <c r="J11" s="19" t="s">
        <v>48</v>
      </c>
      <c r="K11" s="19"/>
      <c r="L11" s="19" t="s">
        <v>43</v>
      </c>
      <c r="M11" s="19"/>
      <c r="N11" s="18" t="s">
        <v>27</v>
      </c>
      <c r="O11" s="22" t="n">
        <v>0</v>
      </c>
      <c r="P11" s="20" t="s">
        <v>49</v>
      </c>
    </row>
    <row r="12" customFormat="false" ht="15" hidden="false" customHeight="true" outlineLevel="0" collapsed="false">
      <c r="A12" s="13" t="n">
        <v>6</v>
      </c>
      <c r="B12" s="14" t="s">
        <v>50</v>
      </c>
      <c r="C12" s="14" t="s">
        <v>22</v>
      </c>
      <c r="D12" s="14" t="s">
        <v>22</v>
      </c>
      <c r="E12" s="15" t="s">
        <v>51</v>
      </c>
      <c r="F12" s="13" t="n">
        <v>2</v>
      </c>
      <c r="G12" s="16" t="n">
        <f aca="false">WORKDAY($B$3,1)</f>
        <v>45902</v>
      </c>
      <c r="H12" s="16" t="n">
        <f aca="false">WORKDAY(G12,1)</f>
        <v>45903</v>
      </c>
      <c r="I12" s="13" t="s">
        <v>47</v>
      </c>
      <c r="J12" s="14" t="s">
        <v>52</v>
      </c>
      <c r="K12" s="14" t="s">
        <v>53</v>
      </c>
      <c r="L12" s="14" t="s">
        <v>43</v>
      </c>
      <c r="M12" s="14"/>
      <c r="N12" s="13" t="s">
        <v>27</v>
      </c>
      <c r="O12" s="17" t="n">
        <v>0</v>
      </c>
      <c r="P12" s="15" t="s">
        <v>54</v>
      </c>
    </row>
    <row r="13" customFormat="false" ht="15" hidden="false" customHeight="true" outlineLevel="0" collapsed="false">
      <c r="A13" s="18" t="n">
        <v>7</v>
      </c>
      <c r="B13" s="19" t="s">
        <v>55</v>
      </c>
      <c r="C13" s="19" t="s">
        <v>22</v>
      </c>
      <c r="D13" s="19" t="s">
        <v>22</v>
      </c>
      <c r="E13" s="20" t="s">
        <v>56</v>
      </c>
      <c r="F13" s="18" t="n">
        <v>1</v>
      </c>
      <c r="G13" s="21" t="n">
        <f aca="false">WORKDAY($B$3,2)</f>
        <v>45903</v>
      </c>
      <c r="H13" s="21" t="n">
        <f aca="false">WORKDAY(G13,0)</f>
        <v>45903</v>
      </c>
      <c r="I13" s="18" t="s">
        <v>47</v>
      </c>
      <c r="J13" s="19" t="s">
        <v>57</v>
      </c>
      <c r="K13" s="19"/>
      <c r="L13" s="19" t="s">
        <v>26</v>
      </c>
      <c r="M13" s="19" t="s">
        <v>43</v>
      </c>
      <c r="N13" s="18" t="s">
        <v>27</v>
      </c>
      <c r="O13" s="22" t="n">
        <v>0</v>
      </c>
      <c r="P13" s="20" t="s">
        <v>58</v>
      </c>
    </row>
    <row r="14" customFormat="false" ht="15" hidden="false" customHeight="true" outlineLevel="0" collapsed="false">
      <c r="A14" s="13" t="n">
        <v>8</v>
      </c>
      <c r="B14" s="14" t="s">
        <v>59</v>
      </c>
      <c r="C14" s="14" t="s">
        <v>22</v>
      </c>
      <c r="D14" s="14" t="s">
        <v>22</v>
      </c>
      <c r="E14" s="15" t="s">
        <v>60</v>
      </c>
      <c r="F14" s="13" t="n">
        <v>1</v>
      </c>
      <c r="G14" s="16" t="n">
        <f aca="false">WORKDAY($B$3,3)</f>
        <v>45904</v>
      </c>
      <c r="H14" s="16" t="n">
        <f aca="false">WORKDAY(G14,0)</f>
        <v>45904</v>
      </c>
      <c r="I14" s="13" t="s">
        <v>61</v>
      </c>
      <c r="J14" s="14" t="s">
        <v>24</v>
      </c>
      <c r="K14" s="14"/>
      <c r="L14" s="14" t="s">
        <v>35</v>
      </c>
      <c r="M14" s="14"/>
      <c r="N14" s="13" t="s">
        <v>27</v>
      </c>
      <c r="O14" s="17" t="n">
        <v>0</v>
      </c>
      <c r="P14" s="15" t="s">
        <v>62</v>
      </c>
    </row>
    <row r="15" customFormat="false" ht="15" hidden="false" customHeight="true" outlineLevel="0" collapsed="false">
      <c r="A15" s="18" t="n">
        <v>9</v>
      </c>
      <c r="B15" s="19" t="s">
        <v>63</v>
      </c>
      <c r="C15" s="19" t="s">
        <v>22</v>
      </c>
      <c r="D15" s="19" t="s">
        <v>22</v>
      </c>
      <c r="E15" s="20" t="s">
        <v>64</v>
      </c>
      <c r="F15" s="18" t="n">
        <v>1</v>
      </c>
      <c r="G15" s="21" t="n">
        <f aca="false">WORKDAY($B$3,2)</f>
        <v>45903</v>
      </c>
      <c r="H15" s="21" t="n">
        <f aca="false">WORKDAY(G15,0)</f>
        <v>45903</v>
      </c>
      <c r="I15" s="18" t="s">
        <v>47</v>
      </c>
      <c r="J15" s="19" t="s">
        <v>24</v>
      </c>
      <c r="K15" s="19"/>
      <c r="L15" s="19" t="s">
        <v>36</v>
      </c>
      <c r="M15" s="19"/>
      <c r="N15" s="18" t="s">
        <v>27</v>
      </c>
      <c r="O15" s="22" t="n">
        <v>0</v>
      </c>
      <c r="P15" s="20" t="s">
        <v>65</v>
      </c>
    </row>
    <row r="16" customFormat="false" ht="15" hidden="false" customHeight="true" outlineLevel="0" collapsed="false">
      <c r="A16" s="13" t="n">
        <v>10</v>
      </c>
      <c r="B16" s="14" t="s">
        <v>66</v>
      </c>
      <c r="C16" s="14" t="s">
        <v>22</v>
      </c>
      <c r="D16" s="14" t="s">
        <v>22</v>
      </c>
      <c r="E16" s="15" t="s">
        <v>67</v>
      </c>
      <c r="F16" s="13" t="n">
        <v>1</v>
      </c>
      <c r="G16" s="16" t="n">
        <f aca="false">WORKDAY($B$3,3)</f>
        <v>45904</v>
      </c>
      <c r="H16" s="16" t="n">
        <f aca="false">WORKDAY(G16,0)</f>
        <v>45904</v>
      </c>
      <c r="I16" s="13" t="s">
        <v>47</v>
      </c>
      <c r="J16" s="14" t="s">
        <v>57</v>
      </c>
      <c r="K16" s="14"/>
      <c r="L16" s="14" t="s">
        <v>36</v>
      </c>
      <c r="M16" s="14"/>
      <c r="N16" s="13" t="s">
        <v>27</v>
      </c>
      <c r="O16" s="17" t="n">
        <v>0</v>
      </c>
      <c r="P16" s="15" t="s">
        <v>68</v>
      </c>
    </row>
    <row r="17" customFormat="false" ht="15" hidden="false" customHeight="true" outlineLevel="0" collapsed="false">
      <c r="A17" s="18" t="n">
        <v>11</v>
      </c>
      <c r="B17" s="19" t="s">
        <v>69</v>
      </c>
      <c r="C17" s="19" t="s">
        <v>22</v>
      </c>
      <c r="D17" s="19" t="s">
        <v>22</v>
      </c>
      <c r="E17" s="20" t="s">
        <v>70</v>
      </c>
      <c r="F17" s="18" t="n">
        <v>1</v>
      </c>
      <c r="G17" s="21" t="n">
        <f aca="false">WORKDAY($B$3,4)</f>
        <v>45905</v>
      </c>
      <c r="H17" s="21" t="n">
        <f aca="false">WORKDAY(G17,0)</f>
        <v>45905</v>
      </c>
      <c r="I17" s="18" t="s">
        <v>47</v>
      </c>
      <c r="J17" s="19" t="s">
        <v>42</v>
      </c>
      <c r="K17" s="19"/>
      <c r="L17" s="19" t="s">
        <v>36</v>
      </c>
      <c r="M17" s="19" t="s">
        <v>71</v>
      </c>
      <c r="N17" s="18" t="s">
        <v>27</v>
      </c>
      <c r="O17" s="22" t="n">
        <v>0</v>
      </c>
      <c r="P17" s="20" t="s">
        <v>72</v>
      </c>
    </row>
    <row r="18" customFormat="false" ht="15" hidden="false" customHeight="true" outlineLevel="0" collapsed="false">
      <c r="A18" s="13" t="n">
        <v>12</v>
      </c>
      <c r="B18" s="14" t="s">
        <v>73</v>
      </c>
      <c r="C18" s="14" t="s">
        <v>22</v>
      </c>
      <c r="D18" s="14" t="s">
        <v>22</v>
      </c>
      <c r="E18" s="15" t="s">
        <v>74</v>
      </c>
      <c r="F18" s="13" t="n">
        <v>1</v>
      </c>
      <c r="G18" s="16" t="n">
        <f aca="false">WORKDAY($B$3,4)</f>
        <v>45905</v>
      </c>
      <c r="H18" s="16" t="n">
        <f aca="false">WORKDAY(G18,0)</f>
        <v>45905</v>
      </c>
      <c r="I18" s="13" t="s">
        <v>47</v>
      </c>
      <c r="J18" s="14" t="s">
        <v>24</v>
      </c>
      <c r="K18" s="14"/>
      <c r="L18" s="14" t="s">
        <v>36</v>
      </c>
      <c r="M18" s="14" t="s">
        <v>35</v>
      </c>
      <c r="N18" s="13" t="s">
        <v>27</v>
      </c>
      <c r="O18" s="17" t="n">
        <v>0</v>
      </c>
      <c r="P18" s="15" t="s">
        <v>75</v>
      </c>
    </row>
    <row r="19" customFormat="false" ht="15" hidden="false" customHeight="true" outlineLevel="0" collapsed="false">
      <c r="A19" s="18" t="n">
        <v>13</v>
      </c>
      <c r="B19" s="19" t="s">
        <v>76</v>
      </c>
      <c r="C19" s="19" t="s">
        <v>22</v>
      </c>
      <c r="D19" s="19" t="s">
        <v>22</v>
      </c>
      <c r="E19" s="20" t="s">
        <v>77</v>
      </c>
      <c r="F19" s="18" t="n">
        <v>1</v>
      </c>
      <c r="G19" s="21" t="n">
        <f aca="false">WORKDAY($B$3,9)</f>
        <v>45912</v>
      </c>
      <c r="H19" s="21" t="n">
        <f aca="false">WORKDAY(G19,0)</f>
        <v>45912</v>
      </c>
      <c r="I19" s="18" t="s">
        <v>78</v>
      </c>
      <c r="J19" s="19" t="s">
        <v>24</v>
      </c>
      <c r="K19" s="19" t="s">
        <v>53</v>
      </c>
      <c r="L19" s="19" t="s">
        <v>36</v>
      </c>
      <c r="M19" s="19"/>
      <c r="N19" s="18" t="s">
        <v>27</v>
      </c>
      <c r="O19" s="22" t="n">
        <v>0</v>
      </c>
      <c r="P19" s="20" t="s">
        <v>79</v>
      </c>
    </row>
    <row r="20" customFormat="false" ht="15" hidden="false" customHeight="true" outlineLevel="0" collapsed="false">
      <c r="A20" s="23" t="n">
        <v>14</v>
      </c>
      <c r="B20" s="24" t="s">
        <v>80</v>
      </c>
      <c r="C20" s="24" t="s">
        <v>22</v>
      </c>
      <c r="D20" s="24" t="s">
        <v>22</v>
      </c>
      <c r="E20" s="25" t="s">
        <v>81</v>
      </c>
      <c r="F20" s="23" t="s">
        <v>82</v>
      </c>
      <c r="G20" s="26" t="n">
        <f aca="false">WORKDAY($B$3,9)</f>
        <v>45912</v>
      </c>
      <c r="H20" s="26" t="n">
        <f aca="false">G20</f>
        <v>45912</v>
      </c>
      <c r="I20" s="23" t="s">
        <v>83</v>
      </c>
      <c r="J20" s="24"/>
      <c r="K20" s="24"/>
      <c r="L20" s="24"/>
      <c r="M20" s="24"/>
      <c r="N20" s="23" t="s">
        <v>27</v>
      </c>
      <c r="O20" s="27" t="n">
        <v>0</v>
      </c>
      <c r="P20" s="25"/>
    </row>
    <row r="21" customFormat="false" ht="18" hidden="false" customHeight="true" outlineLevel="0" collapsed="false">
      <c r="A21" s="8" t="n">
        <v>15</v>
      </c>
      <c r="B21" s="9" t="s">
        <v>84</v>
      </c>
      <c r="C21" s="9" t="s">
        <v>85</v>
      </c>
      <c r="D21" s="9" t="s">
        <v>86</v>
      </c>
      <c r="E21" s="10" t="s">
        <v>87</v>
      </c>
      <c r="F21" s="8" t="n">
        <v>10</v>
      </c>
      <c r="G21" s="11" t="n">
        <f aca="false">WORKDAY($B$3,10)</f>
        <v>45915</v>
      </c>
      <c r="H21" s="11" t="n">
        <f aca="false">WORKDAY(G21,9)</f>
        <v>45926</v>
      </c>
      <c r="I21" s="8"/>
      <c r="J21" s="9" t="s">
        <v>25</v>
      </c>
      <c r="K21" s="9" t="s">
        <v>24</v>
      </c>
      <c r="L21" s="9" t="s">
        <v>88</v>
      </c>
      <c r="M21" s="9" t="s">
        <v>71</v>
      </c>
      <c r="N21" s="8" t="s">
        <v>27</v>
      </c>
      <c r="O21" s="12" t="n">
        <v>0</v>
      </c>
      <c r="P21" s="10" t="s">
        <v>89</v>
      </c>
    </row>
    <row r="22" customFormat="false" ht="15" hidden="false" customHeight="true" outlineLevel="0" collapsed="false">
      <c r="A22" s="13" t="n">
        <v>16</v>
      </c>
      <c r="B22" s="14" t="s">
        <v>90</v>
      </c>
      <c r="C22" s="14" t="s">
        <v>85</v>
      </c>
      <c r="D22" s="14" t="s">
        <v>86</v>
      </c>
      <c r="E22" s="15" t="s">
        <v>91</v>
      </c>
      <c r="F22" s="13" t="n">
        <v>1</v>
      </c>
      <c r="G22" s="16" t="n">
        <f aca="false">WORKDAY($B$3,10)</f>
        <v>45915</v>
      </c>
      <c r="H22" s="16" t="n">
        <f aca="false">WORKDAY(G22,0)</f>
        <v>45915</v>
      </c>
      <c r="I22" s="13" t="s">
        <v>92</v>
      </c>
      <c r="J22" s="14" t="s">
        <v>41</v>
      </c>
      <c r="K22" s="14" t="s">
        <v>93</v>
      </c>
      <c r="L22" s="14" t="s">
        <v>36</v>
      </c>
      <c r="M22" s="14"/>
      <c r="N22" s="13" t="s">
        <v>27</v>
      </c>
      <c r="O22" s="17" t="n">
        <v>0</v>
      </c>
      <c r="P22" s="15" t="s">
        <v>94</v>
      </c>
    </row>
    <row r="23" customFormat="false" ht="15" hidden="false" customHeight="true" outlineLevel="0" collapsed="false">
      <c r="A23" s="18" t="n">
        <v>17</v>
      </c>
      <c r="B23" s="19" t="s">
        <v>95</v>
      </c>
      <c r="C23" s="19" t="s">
        <v>85</v>
      </c>
      <c r="D23" s="19" t="s">
        <v>86</v>
      </c>
      <c r="E23" s="20" t="s">
        <v>96</v>
      </c>
      <c r="F23" s="18" t="n">
        <v>3</v>
      </c>
      <c r="G23" s="21" t="n">
        <f aca="false">WORKDAY($B$3,10)</f>
        <v>45915</v>
      </c>
      <c r="H23" s="21" t="n">
        <f aca="false">WORKDAY(G23,2)</f>
        <v>45917</v>
      </c>
      <c r="I23" s="18" t="s">
        <v>97</v>
      </c>
      <c r="J23" s="19" t="s">
        <v>48</v>
      </c>
      <c r="K23" s="19"/>
      <c r="L23" s="19" t="s">
        <v>43</v>
      </c>
      <c r="M23" s="19"/>
      <c r="N23" s="18" t="s">
        <v>27</v>
      </c>
      <c r="O23" s="22" t="n">
        <v>0</v>
      </c>
      <c r="P23" s="20" t="s">
        <v>98</v>
      </c>
    </row>
    <row r="24" customFormat="false" ht="15" hidden="false" customHeight="true" outlineLevel="0" collapsed="false">
      <c r="A24" s="13" t="n">
        <v>18</v>
      </c>
      <c r="B24" s="14" t="s">
        <v>99</v>
      </c>
      <c r="C24" s="14" t="s">
        <v>85</v>
      </c>
      <c r="D24" s="14" t="s">
        <v>86</v>
      </c>
      <c r="E24" s="15" t="s">
        <v>100</v>
      </c>
      <c r="F24" s="13" t="n">
        <v>2</v>
      </c>
      <c r="G24" s="16" t="n">
        <f aca="false">WORKDAY($B$3,10)</f>
        <v>45915</v>
      </c>
      <c r="H24" s="16" t="n">
        <f aca="false">WORKDAY(G24,1)</f>
        <v>45916</v>
      </c>
      <c r="I24" s="13" t="s">
        <v>101</v>
      </c>
      <c r="J24" s="14" t="s">
        <v>25</v>
      </c>
      <c r="K24" s="14"/>
      <c r="L24" s="14" t="s">
        <v>88</v>
      </c>
      <c r="M24" s="14" t="s">
        <v>71</v>
      </c>
      <c r="N24" s="13" t="s">
        <v>27</v>
      </c>
      <c r="O24" s="17" t="n">
        <v>0</v>
      </c>
      <c r="P24" s="15" t="s">
        <v>102</v>
      </c>
    </row>
    <row r="25" customFormat="false" ht="15" hidden="false" customHeight="true" outlineLevel="0" collapsed="false">
      <c r="A25" s="18" t="n">
        <v>19</v>
      </c>
      <c r="B25" s="19" t="s">
        <v>103</v>
      </c>
      <c r="C25" s="19" t="s">
        <v>85</v>
      </c>
      <c r="D25" s="19" t="s">
        <v>86</v>
      </c>
      <c r="E25" s="20" t="s">
        <v>104</v>
      </c>
      <c r="F25" s="18" t="n">
        <v>2</v>
      </c>
      <c r="G25" s="21" t="n">
        <f aca="false">WORKDAY($B$3,12)</f>
        <v>45917</v>
      </c>
      <c r="H25" s="21" t="n">
        <f aca="false">WORKDAY(G25,1)</f>
        <v>45918</v>
      </c>
      <c r="I25" s="18" t="s">
        <v>105</v>
      </c>
      <c r="J25" s="19" t="s">
        <v>53</v>
      </c>
      <c r="K25" s="19" t="s">
        <v>52</v>
      </c>
      <c r="L25" s="19" t="s">
        <v>43</v>
      </c>
      <c r="M25" s="19"/>
      <c r="N25" s="18" t="s">
        <v>27</v>
      </c>
      <c r="O25" s="22" t="n">
        <v>0</v>
      </c>
      <c r="P25" s="20" t="s">
        <v>106</v>
      </c>
    </row>
    <row r="26" customFormat="false" ht="15" hidden="false" customHeight="true" outlineLevel="0" collapsed="false">
      <c r="A26" s="13" t="n">
        <v>20</v>
      </c>
      <c r="B26" s="14" t="s">
        <v>107</v>
      </c>
      <c r="C26" s="14" t="s">
        <v>85</v>
      </c>
      <c r="D26" s="14" t="s">
        <v>86</v>
      </c>
      <c r="E26" s="15" t="s">
        <v>108</v>
      </c>
      <c r="F26" s="13" t="n">
        <v>1</v>
      </c>
      <c r="G26" s="16" t="n">
        <f aca="false">WORKDAY($B$3,10)</f>
        <v>45915</v>
      </c>
      <c r="H26" s="16" t="n">
        <f aca="false">WORKDAY(G26,0)</f>
        <v>45915</v>
      </c>
      <c r="I26" s="13" t="s">
        <v>101</v>
      </c>
      <c r="J26" s="14" t="s">
        <v>42</v>
      </c>
      <c r="K26" s="14" t="s">
        <v>53</v>
      </c>
      <c r="L26" s="14" t="s">
        <v>71</v>
      </c>
      <c r="M26" s="14" t="s">
        <v>36</v>
      </c>
      <c r="N26" s="13" t="s">
        <v>27</v>
      </c>
      <c r="O26" s="17" t="n">
        <v>0</v>
      </c>
      <c r="P26" s="15" t="s">
        <v>109</v>
      </c>
    </row>
    <row r="27" customFormat="false" ht="15" hidden="false" customHeight="true" outlineLevel="0" collapsed="false">
      <c r="A27" s="18" t="n">
        <v>21</v>
      </c>
      <c r="B27" s="19" t="s">
        <v>110</v>
      </c>
      <c r="C27" s="19" t="s">
        <v>85</v>
      </c>
      <c r="D27" s="19" t="s">
        <v>86</v>
      </c>
      <c r="E27" s="20" t="s">
        <v>111</v>
      </c>
      <c r="F27" s="18" t="n">
        <v>1</v>
      </c>
      <c r="G27" s="21" t="n">
        <f aca="false">WORKDAY($B$3,11)</f>
        <v>45916</v>
      </c>
      <c r="H27" s="21" t="n">
        <f aca="false">WORKDAY(G27,0)</f>
        <v>45916</v>
      </c>
      <c r="I27" s="18" t="s">
        <v>112</v>
      </c>
      <c r="J27" s="19" t="s">
        <v>42</v>
      </c>
      <c r="K27" s="19" t="s">
        <v>53</v>
      </c>
      <c r="L27" s="19" t="s">
        <v>71</v>
      </c>
      <c r="M27" s="19"/>
      <c r="N27" s="18" t="s">
        <v>27</v>
      </c>
      <c r="O27" s="22" t="n">
        <v>0</v>
      </c>
      <c r="P27" s="20" t="s">
        <v>113</v>
      </c>
    </row>
    <row r="28" customFormat="false" ht="15" hidden="false" customHeight="true" outlineLevel="0" collapsed="false">
      <c r="A28" s="13" t="n">
        <v>22</v>
      </c>
      <c r="B28" s="14" t="s">
        <v>114</v>
      </c>
      <c r="C28" s="14" t="s">
        <v>85</v>
      </c>
      <c r="D28" s="14" t="s">
        <v>86</v>
      </c>
      <c r="E28" s="15" t="s">
        <v>115</v>
      </c>
      <c r="F28" s="13" t="n">
        <v>1</v>
      </c>
      <c r="G28" s="16" t="n">
        <f aca="false">WORKDAY($B$3,12)</f>
        <v>45917</v>
      </c>
      <c r="H28" s="16" t="n">
        <f aca="false">WORKDAY(G28,0)</f>
        <v>45917</v>
      </c>
      <c r="I28" s="13" t="s">
        <v>116</v>
      </c>
      <c r="J28" s="14" t="s">
        <v>42</v>
      </c>
      <c r="K28" s="14" t="s">
        <v>53</v>
      </c>
      <c r="L28" s="14" t="s">
        <v>71</v>
      </c>
      <c r="M28" s="14" t="s">
        <v>117</v>
      </c>
      <c r="N28" s="13" t="s">
        <v>27</v>
      </c>
      <c r="O28" s="17" t="n">
        <v>0</v>
      </c>
      <c r="P28" s="15" t="s">
        <v>118</v>
      </c>
    </row>
    <row r="29" customFormat="false" ht="15" hidden="false" customHeight="true" outlineLevel="0" collapsed="false">
      <c r="A29" s="18" t="n">
        <v>23</v>
      </c>
      <c r="B29" s="19" t="s">
        <v>119</v>
      </c>
      <c r="C29" s="19" t="s">
        <v>85</v>
      </c>
      <c r="D29" s="19" t="s">
        <v>86</v>
      </c>
      <c r="E29" s="20" t="s">
        <v>120</v>
      </c>
      <c r="F29" s="18" t="n">
        <v>2</v>
      </c>
      <c r="G29" s="21" t="n">
        <f aca="false">WORKDAY($B$3,13)</f>
        <v>45918</v>
      </c>
      <c r="H29" s="21" t="n">
        <f aca="false">WORKDAY(G29,1)</f>
        <v>45919</v>
      </c>
      <c r="I29" s="18" t="s">
        <v>121</v>
      </c>
      <c r="J29" s="19" t="s">
        <v>42</v>
      </c>
      <c r="K29" s="19" t="s">
        <v>52</v>
      </c>
      <c r="L29" s="19" t="s">
        <v>71</v>
      </c>
      <c r="M29" s="19" t="s">
        <v>43</v>
      </c>
      <c r="N29" s="18" t="s">
        <v>27</v>
      </c>
      <c r="O29" s="22" t="n">
        <v>0</v>
      </c>
      <c r="P29" s="20" t="s">
        <v>122</v>
      </c>
    </row>
    <row r="30" customFormat="false" ht="15" hidden="false" customHeight="true" outlineLevel="0" collapsed="false">
      <c r="A30" s="13" t="n">
        <v>24</v>
      </c>
      <c r="B30" s="14" t="s">
        <v>123</v>
      </c>
      <c r="C30" s="14" t="s">
        <v>85</v>
      </c>
      <c r="D30" s="14" t="s">
        <v>86</v>
      </c>
      <c r="E30" s="15" t="s">
        <v>124</v>
      </c>
      <c r="F30" s="13" t="n">
        <v>1</v>
      </c>
      <c r="G30" s="16" t="n">
        <f aca="false">WORKDAY($B$3,14)</f>
        <v>45919</v>
      </c>
      <c r="H30" s="16" t="n">
        <f aca="false">WORKDAY(G30,0)</f>
        <v>45919</v>
      </c>
      <c r="I30" s="13" t="s">
        <v>125</v>
      </c>
      <c r="J30" s="14" t="s">
        <v>42</v>
      </c>
      <c r="K30" s="14" t="s">
        <v>53</v>
      </c>
      <c r="L30" s="14" t="s">
        <v>71</v>
      </c>
      <c r="M30" s="14"/>
      <c r="N30" s="13" t="s">
        <v>27</v>
      </c>
      <c r="O30" s="17" t="n">
        <v>0</v>
      </c>
      <c r="P30" s="15" t="s">
        <v>126</v>
      </c>
    </row>
    <row r="31" customFormat="false" ht="15" hidden="false" customHeight="true" outlineLevel="0" collapsed="false">
      <c r="A31" s="18" t="n">
        <v>25</v>
      </c>
      <c r="B31" s="19" t="s">
        <v>127</v>
      </c>
      <c r="C31" s="19" t="s">
        <v>85</v>
      </c>
      <c r="D31" s="19" t="s">
        <v>86</v>
      </c>
      <c r="E31" s="20" t="s">
        <v>128</v>
      </c>
      <c r="F31" s="18" t="n">
        <v>1</v>
      </c>
      <c r="G31" s="21" t="n">
        <f aca="false">WORKDAY($B$3,18)</f>
        <v>45925</v>
      </c>
      <c r="H31" s="21" t="n">
        <f aca="false">WORKDAY(G31,0)</f>
        <v>45925</v>
      </c>
      <c r="I31" s="18" t="s">
        <v>129</v>
      </c>
      <c r="J31" s="19" t="s">
        <v>25</v>
      </c>
      <c r="K31" s="19" t="s">
        <v>24</v>
      </c>
      <c r="L31" s="19" t="s">
        <v>26</v>
      </c>
      <c r="M31" s="19" t="s">
        <v>130</v>
      </c>
      <c r="N31" s="18" t="s">
        <v>27</v>
      </c>
      <c r="O31" s="22" t="n">
        <v>0</v>
      </c>
      <c r="P31" s="20" t="s">
        <v>131</v>
      </c>
    </row>
    <row r="32" customFormat="false" ht="15" hidden="false" customHeight="true" outlineLevel="0" collapsed="false">
      <c r="A32" s="13" t="n">
        <v>26</v>
      </c>
      <c r="B32" s="14" t="s">
        <v>132</v>
      </c>
      <c r="C32" s="14" t="s">
        <v>85</v>
      </c>
      <c r="D32" s="14" t="s">
        <v>86</v>
      </c>
      <c r="E32" s="15" t="s">
        <v>133</v>
      </c>
      <c r="F32" s="13" t="n">
        <v>1</v>
      </c>
      <c r="G32" s="16" t="n">
        <f aca="false">WORKDAY($B$3,19)</f>
        <v>45926</v>
      </c>
      <c r="H32" s="16" t="n">
        <f aca="false">WORKDAY(G32,0)</f>
        <v>45926</v>
      </c>
      <c r="I32" s="13" t="s">
        <v>134</v>
      </c>
      <c r="J32" s="14" t="s">
        <v>24</v>
      </c>
      <c r="K32" s="14" t="s">
        <v>25</v>
      </c>
      <c r="L32" s="14" t="s">
        <v>36</v>
      </c>
      <c r="M32" s="14"/>
      <c r="N32" s="13" t="s">
        <v>27</v>
      </c>
      <c r="O32" s="17" t="n">
        <v>0</v>
      </c>
      <c r="P32" s="15" t="s">
        <v>135</v>
      </c>
    </row>
    <row r="33" customFormat="false" ht="15" hidden="false" customHeight="true" outlineLevel="0" collapsed="false">
      <c r="A33" s="23" t="n">
        <v>27</v>
      </c>
      <c r="B33" s="24" t="s">
        <v>136</v>
      </c>
      <c r="C33" s="24" t="s">
        <v>85</v>
      </c>
      <c r="D33" s="24" t="s">
        <v>86</v>
      </c>
      <c r="E33" s="25" t="s">
        <v>137</v>
      </c>
      <c r="F33" s="23" t="s">
        <v>82</v>
      </c>
      <c r="G33" s="26" t="n">
        <f aca="false">WORKDAY($B$3,19)</f>
        <v>45926</v>
      </c>
      <c r="H33" s="26" t="n">
        <f aca="false">G33</f>
        <v>45926</v>
      </c>
      <c r="I33" s="23" t="s">
        <v>138</v>
      </c>
      <c r="J33" s="24"/>
      <c r="K33" s="24"/>
      <c r="L33" s="24"/>
      <c r="M33" s="24"/>
      <c r="N33" s="23" t="s">
        <v>27</v>
      </c>
      <c r="O33" s="27" t="n">
        <v>0</v>
      </c>
      <c r="P33" s="25"/>
    </row>
    <row r="34" customFormat="false" ht="18" hidden="false" customHeight="true" outlineLevel="0" collapsed="false">
      <c r="A34" s="8" t="n">
        <v>28</v>
      </c>
      <c r="B34" s="9" t="s">
        <v>139</v>
      </c>
      <c r="C34" s="9" t="s">
        <v>85</v>
      </c>
      <c r="D34" s="9" t="s">
        <v>140</v>
      </c>
      <c r="E34" s="10" t="s">
        <v>141</v>
      </c>
      <c r="F34" s="8" t="n">
        <v>10</v>
      </c>
      <c r="G34" s="11" t="n">
        <f aca="false">WORKDAY($B$3,20)</f>
        <v>45929</v>
      </c>
      <c r="H34" s="11" t="n">
        <f aca="false">WORKDAY(G34,9)</f>
        <v>45940</v>
      </c>
      <c r="I34" s="8"/>
      <c r="J34" s="9" t="s">
        <v>48</v>
      </c>
      <c r="K34" s="9" t="s">
        <v>42</v>
      </c>
      <c r="L34" s="9" t="s">
        <v>43</v>
      </c>
      <c r="M34" s="9" t="s">
        <v>71</v>
      </c>
      <c r="N34" s="8" t="s">
        <v>27</v>
      </c>
      <c r="O34" s="12" t="n">
        <v>0</v>
      </c>
      <c r="P34" s="10" t="s">
        <v>142</v>
      </c>
    </row>
    <row r="35" customFormat="false" ht="15" hidden="false" customHeight="true" outlineLevel="0" collapsed="false">
      <c r="A35" s="18" t="n">
        <v>29</v>
      </c>
      <c r="B35" s="19" t="s">
        <v>143</v>
      </c>
      <c r="C35" s="19" t="s">
        <v>85</v>
      </c>
      <c r="D35" s="19" t="s">
        <v>140</v>
      </c>
      <c r="E35" s="20" t="s">
        <v>144</v>
      </c>
      <c r="F35" s="18" t="n">
        <v>1</v>
      </c>
      <c r="G35" s="21" t="n">
        <f aca="false">WORKDAY($B$3,20)</f>
        <v>45929</v>
      </c>
      <c r="H35" s="21" t="n">
        <f aca="false">WORKDAY(G35,0)</f>
        <v>45929</v>
      </c>
      <c r="I35" s="18" t="s">
        <v>145</v>
      </c>
      <c r="J35" s="19" t="s">
        <v>41</v>
      </c>
      <c r="K35" s="19" t="s">
        <v>93</v>
      </c>
      <c r="L35" s="19" t="s">
        <v>36</v>
      </c>
      <c r="M35" s="19"/>
      <c r="N35" s="18" t="s">
        <v>27</v>
      </c>
      <c r="O35" s="22" t="n">
        <v>0</v>
      </c>
      <c r="P35" s="20"/>
    </row>
    <row r="36" customFormat="false" ht="15" hidden="false" customHeight="true" outlineLevel="0" collapsed="false">
      <c r="A36" s="13" t="n">
        <v>30</v>
      </c>
      <c r="B36" s="14" t="s">
        <v>146</v>
      </c>
      <c r="C36" s="14" t="s">
        <v>85</v>
      </c>
      <c r="D36" s="14" t="s">
        <v>140</v>
      </c>
      <c r="E36" s="15" t="s">
        <v>147</v>
      </c>
      <c r="F36" s="13" t="n">
        <v>3</v>
      </c>
      <c r="G36" s="16" t="n">
        <f aca="false">WORKDAY($B$3,20)</f>
        <v>45929</v>
      </c>
      <c r="H36" s="16" t="n">
        <f aca="false">WORKDAY(G36,2)</f>
        <v>45931</v>
      </c>
      <c r="I36" s="13" t="s">
        <v>148</v>
      </c>
      <c r="J36" s="14" t="s">
        <v>52</v>
      </c>
      <c r="K36" s="14" t="s">
        <v>53</v>
      </c>
      <c r="L36" s="14" t="s">
        <v>43</v>
      </c>
      <c r="M36" s="14"/>
      <c r="N36" s="13" t="s">
        <v>27</v>
      </c>
      <c r="O36" s="17" t="n">
        <v>0</v>
      </c>
      <c r="P36" s="15" t="s">
        <v>149</v>
      </c>
    </row>
    <row r="37" customFormat="false" ht="15" hidden="false" customHeight="true" outlineLevel="0" collapsed="false">
      <c r="A37" s="18" t="n">
        <v>31</v>
      </c>
      <c r="B37" s="19" t="s">
        <v>150</v>
      </c>
      <c r="C37" s="19" t="s">
        <v>85</v>
      </c>
      <c r="D37" s="19" t="s">
        <v>140</v>
      </c>
      <c r="E37" s="20" t="s">
        <v>151</v>
      </c>
      <c r="F37" s="18" t="n">
        <v>4</v>
      </c>
      <c r="G37" s="21" t="n">
        <f aca="false">WORKDAY($B$3,20)</f>
        <v>45929</v>
      </c>
      <c r="H37" s="21" t="n">
        <f aca="false">WORKDAY(G37,3)</f>
        <v>45932</v>
      </c>
      <c r="I37" s="18" t="s">
        <v>148</v>
      </c>
      <c r="J37" s="19" t="s">
        <v>52</v>
      </c>
      <c r="K37" s="19" t="s">
        <v>53</v>
      </c>
      <c r="L37" s="19" t="s">
        <v>43</v>
      </c>
      <c r="M37" s="19"/>
      <c r="N37" s="18" t="s">
        <v>27</v>
      </c>
      <c r="O37" s="22" t="n">
        <v>0</v>
      </c>
      <c r="P37" s="20" t="s">
        <v>152</v>
      </c>
    </row>
    <row r="38" customFormat="false" ht="15" hidden="false" customHeight="true" outlineLevel="0" collapsed="false">
      <c r="A38" s="13" t="n">
        <v>32</v>
      </c>
      <c r="B38" s="14" t="s">
        <v>153</v>
      </c>
      <c r="C38" s="14" t="s">
        <v>85</v>
      </c>
      <c r="D38" s="14" t="s">
        <v>140</v>
      </c>
      <c r="E38" s="15" t="s">
        <v>154</v>
      </c>
      <c r="F38" s="13" t="n">
        <v>1</v>
      </c>
      <c r="G38" s="16" t="n">
        <f aca="false">WORKDAY($B$3,20)</f>
        <v>45929</v>
      </c>
      <c r="H38" s="16" t="n">
        <f aca="false">WORKDAY(G38,0)</f>
        <v>45929</v>
      </c>
      <c r="I38" s="13" t="s">
        <v>148</v>
      </c>
      <c r="J38" s="14" t="s">
        <v>25</v>
      </c>
      <c r="K38" s="14"/>
      <c r="L38" s="14" t="s">
        <v>43</v>
      </c>
      <c r="M38" s="14" t="s">
        <v>36</v>
      </c>
      <c r="N38" s="13" t="s">
        <v>27</v>
      </c>
      <c r="O38" s="17" t="n">
        <v>0</v>
      </c>
      <c r="P38" s="15" t="s">
        <v>155</v>
      </c>
    </row>
    <row r="39" customFormat="false" ht="15" hidden="false" customHeight="true" outlineLevel="0" collapsed="false">
      <c r="A39" s="18" t="n">
        <v>33</v>
      </c>
      <c r="B39" s="19" t="s">
        <v>156</v>
      </c>
      <c r="C39" s="19" t="s">
        <v>85</v>
      </c>
      <c r="D39" s="19" t="s">
        <v>140</v>
      </c>
      <c r="E39" s="20" t="s">
        <v>157</v>
      </c>
      <c r="F39" s="18" t="n">
        <v>1</v>
      </c>
      <c r="G39" s="21" t="n">
        <f aca="false">WORKDAY($B$3,21)</f>
        <v>45930</v>
      </c>
      <c r="H39" s="21" t="n">
        <f aca="false">WORKDAY(G39,0)</f>
        <v>45930</v>
      </c>
      <c r="I39" s="18" t="s">
        <v>158</v>
      </c>
      <c r="J39" s="19" t="s">
        <v>53</v>
      </c>
      <c r="K39" s="19" t="s">
        <v>42</v>
      </c>
      <c r="L39" s="19" t="s">
        <v>43</v>
      </c>
      <c r="M39" s="19" t="s">
        <v>71</v>
      </c>
      <c r="N39" s="18" t="s">
        <v>27</v>
      </c>
      <c r="O39" s="22" t="n">
        <v>0</v>
      </c>
      <c r="P39" s="20" t="s">
        <v>159</v>
      </c>
    </row>
    <row r="40" customFormat="false" ht="15" hidden="false" customHeight="true" outlineLevel="0" collapsed="false">
      <c r="A40" s="13" t="n">
        <v>34</v>
      </c>
      <c r="B40" s="14" t="s">
        <v>160</v>
      </c>
      <c r="C40" s="14" t="s">
        <v>85</v>
      </c>
      <c r="D40" s="14" t="s">
        <v>140</v>
      </c>
      <c r="E40" s="15" t="s">
        <v>161</v>
      </c>
      <c r="F40" s="13" t="n">
        <v>3</v>
      </c>
      <c r="G40" s="16" t="n">
        <f aca="false">WORKDAY($B$3,22)</f>
        <v>45931</v>
      </c>
      <c r="H40" s="16" t="n">
        <f aca="false">WORKDAY(G40,2)</f>
        <v>45933</v>
      </c>
      <c r="I40" s="13" t="s">
        <v>162</v>
      </c>
      <c r="J40" s="14" t="s">
        <v>52</v>
      </c>
      <c r="K40" s="14" t="s">
        <v>53</v>
      </c>
      <c r="L40" s="14" t="s">
        <v>43</v>
      </c>
      <c r="M40" s="14"/>
      <c r="N40" s="13" t="s">
        <v>27</v>
      </c>
      <c r="O40" s="17" t="n">
        <v>0</v>
      </c>
      <c r="P40" s="15" t="s">
        <v>163</v>
      </c>
    </row>
    <row r="41" customFormat="false" ht="15" hidden="false" customHeight="true" outlineLevel="0" collapsed="false">
      <c r="A41" s="18" t="n">
        <v>35</v>
      </c>
      <c r="B41" s="19" t="s">
        <v>164</v>
      </c>
      <c r="C41" s="19" t="s">
        <v>85</v>
      </c>
      <c r="D41" s="19" t="s">
        <v>140</v>
      </c>
      <c r="E41" s="20" t="s">
        <v>165</v>
      </c>
      <c r="F41" s="18" t="n">
        <v>1</v>
      </c>
      <c r="G41" s="21" t="n">
        <f aca="false">WORKDAY($B$3,20)</f>
        <v>45929</v>
      </c>
      <c r="H41" s="21" t="n">
        <f aca="false">WORKDAY(G41,0)</f>
        <v>45929</v>
      </c>
      <c r="I41" s="18" t="s">
        <v>148</v>
      </c>
      <c r="J41" s="19" t="s">
        <v>42</v>
      </c>
      <c r="K41" s="19" t="s">
        <v>53</v>
      </c>
      <c r="L41" s="19" t="s">
        <v>117</v>
      </c>
      <c r="M41" s="19" t="s">
        <v>36</v>
      </c>
      <c r="N41" s="18" t="s">
        <v>27</v>
      </c>
      <c r="O41" s="22" t="n">
        <v>0</v>
      </c>
      <c r="P41" s="20" t="s">
        <v>166</v>
      </c>
    </row>
    <row r="42" customFormat="false" ht="15" hidden="false" customHeight="true" outlineLevel="0" collapsed="false">
      <c r="A42" s="13" t="n">
        <v>36</v>
      </c>
      <c r="B42" s="14" t="s">
        <v>167</v>
      </c>
      <c r="C42" s="14" t="s">
        <v>85</v>
      </c>
      <c r="D42" s="14" t="s">
        <v>140</v>
      </c>
      <c r="E42" s="15" t="s">
        <v>168</v>
      </c>
      <c r="F42" s="13" t="n">
        <v>2</v>
      </c>
      <c r="G42" s="16" t="n">
        <f aca="false">WORKDAY($B$3,21)</f>
        <v>45930</v>
      </c>
      <c r="H42" s="16" t="n">
        <f aca="false">WORKDAY(G42,1)</f>
        <v>45931</v>
      </c>
      <c r="I42" s="13" t="s">
        <v>169</v>
      </c>
      <c r="J42" s="14" t="s">
        <v>42</v>
      </c>
      <c r="K42" s="14"/>
      <c r="L42" s="14" t="s">
        <v>117</v>
      </c>
      <c r="M42" s="14"/>
      <c r="N42" s="13" t="s">
        <v>27</v>
      </c>
      <c r="O42" s="17" t="n">
        <v>0</v>
      </c>
      <c r="P42" s="15" t="s">
        <v>170</v>
      </c>
    </row>
    <row r="43" customFormat="false" ht="15" hidden="false" customHeight="true" outlineLevel="0" collapsed="false">
      <c r="A43" s="18" t="n">
        <v>37</v>
      </c>
      <c r="B43" s="19" t="s">
        <v>171</v>
      </c>
      <c r="C43" s="19" t="s">
        <v>85</v>
      </c>
      <c r="D43" s="19" t="s">
        <v>140</v>
      </c>
      <c r="E43" s="20" t="s">
        <v>172</v>
      </c>
      <c r="F43" s="18" t="n">
        <v>1</v>
      </c>
      <c r="G43" s="21" t="n">
        <f aca="false">WORKDAY($B$3,28)</f>
        <v>45939</v>
      </c>
      <c r="H43" s="21" t="n">
        <f aca="false">WORKDAY(G43,0)</f>
        <v>45939</v>
      </c>
      <c r="I43" s="18" t="s">
        <v>173</v>
      </c>
      <c r="J43" s="19" t="s">
        <v>48</v>
      </c>
      <c r="K43" s="19" t="s">
        <v>24</v>
      </c>
      <c r="L43" s="19" t="s">
        <v>26</v>
      </c>
      <c r="M43" s="19" t="s">
        <v>43</v>
      </c>
      <c r="N43" s="18" t="s">
        <v>27</v>
      </c>
      <c r="O43" s="22" t="n">
        <v>0</v>
      </c>
      <c r="P43" s="20" t="s">
        <v>174</v>
      </c>
    </row>
    <row r="44" customFormat="false" ht="15" hidden="false" customHeight="true" outlineLevel="0" collapsed="false">
      <c r="A44" s="13" t="n">
        <v>38</v>
      </c>
      <c r="B44" s="14" t="s">
        <v>175</v>
      </c>
      <c r="C44" s="14" t="s">
        <v>85</v>
      </c>
      <c r="D44" s="14" t="s">
        <v>140</v>
      </c>
      <c r="E44" s="15" t="s">
        <v>176</v>
      </c>
      <c r="F44" s="13" t="n">
        <v>1</v>
      </c>
      <c r="G44" s="16" t="n">
        <f aca="false">WORKDAY($B$3,29)</f>
        <v>45940</v>
      </c>
      <c r="H44" s="16" t="n">
        <f aca="false">WORKDAY(G44,0)</f>
        <v>45940</v>
      </c>
      <c r="I44" s="13" t="s">
        <v>177</v>
      </c>
      <c r="J44" s="14" t="s">
        <v>24</v>
      </c>
      <c r="K44" s="14" t="s">
        <v>25</v>
      </c>
      <c r="L44" s="14" t="s">
        <v>36</v>
      </c>
      <c r="M44" s="14"/>
      <c r="N44" s="13" t="s">
        <v>27</v>
      </c>
      <c r="O44" s="17" t="n">
        <v>0</v>
      </c>
      <c r="P44" s="15"/>
    </row>
    <row r="45" customFormat="false" ht="15" hidden="false" customHeight="true" outlineLevel="0" collapsed="false">
      <c r="A45" s="23" t="n">
        <v>39</v>
      </c>
      <c r="B45" s="24" t="s">
        <v>178</v>
      </c>
      <c r="C45" s="24" t="s">
        <v>85</v>
      </c>
      <c r="D45" s="24" t="s">
        <v>140</v>
      </c>
      <c r="E45" s="25" t="s">
        <v>179</v>
      </c>
      <c r="F45" s="23" t="s">
        <v>82</v>
      </c>
      <c r="G45" s="26" t="n">
        <f aca="false">WORKDAY($B$3,29)</f>
        <v>45940</v>
      </c>
      <c r="H45" s="26" t="n">
        <f aca="false">G45</f>
        <v>45940</v>
      </c>
      <c r="I45" s="23" t="s">
        <v>180</v>
      </c>
      <c r="J45" s="24"/>
      <c r="K45" s="24"/>
      <c r="L45" s="24"/>
      <c r="M45" s="24"/>
      <c r="N45" s="23" t="s">
        <v>27</v>
      </c>
      <c r="O45" s="27" t="n">
        <v>0</v>
      </c>
      <c r="P45" s="25"/>
    </row>
    <row r="46" customFormat="false" ht="18" hidden="false" customHeight="true" outlineLevel="0" collapsed="false">
      <c r="A46" s="8" t="n">
        <v>40</v>
      </c>
      <c r="B46" s="9" t="s">
        <v>181</v>
      </c>
      <c r="C46" s="9" t="s">
        <v>182</v>
      </c>
      <c r="D46" s="9" t="s">
        <v>183</v>
      </c>
      <c r="E46" s="10" t="s">
        <v>184</v>
      </c>
      <c r="F46" s="8" t="n">
        <v>10</v>
      </c>
      <c r="G46" s="11" t="n">
        <f aca="false">WORKDAY($B$3,30)</f>
        <v>45943</v>
      </c>
      <c r="H46" s="11" t="n">
        <f aca="false">WORKDAY(G46,9)</f>
        <v>45954</v>
      </c>
      <c r="I46" s="8"/>
      <c r="J46" s="9" t="s">
        <v>93</v>
      </c>
      <c r="K46" s="9" t="s">
        <v>53</v>
      </c>
      <c r="L46" s="9" t="s">
        <v>71</v>
      </c>
      <c r="M46" s="9" t="s">
        <v>43</v>
      </c>
      <c r="N46" s="8" t="s">
        <v>27</v>
      </c>
      <c r="O46" s="12" t="n">
        <v>0</v>
      </c>
      <c r="P46" s="10" t="s">
        <v>185</v>
      </c>
    </row>
    <row r="47" customFormat="false" ht="15" hidden="false" customHeight="true" outlineLevel="0" collapsed="false">
      <c r="A47" s="18" t="n">
        <v>41</v>
      </c>
      <c r="B47" s="19" t="s">
        <v>186</v>
      </c>
      <c r="C47" s="19" t="s">
        <v>182</v>
      </c>
      <c r="D47" s="19" t="s">
        <v>183</v>
      </c>
      <c r="E47" s="20" t="s">
        <v>187</v>
      </c>
      <c r="F47" s="18" t="n">
        <v>1</v>
      </c>
      <c r="G47" s="21" t="n">
        <f aca="false">WORKDAY($B$3,30)</f>
        <v>45943</v>
      </c>
      <c r="H47" s="21" t="n">
        <f aca="false">WORKDAY(G47,0)</f>
        <v>45943</v>
      </c>
      <c r="I47" s="18" t="s">
        <v>188</v>
      </c>
      <c r="J47" s="19" t="s">
        <v>41</v>
      </c>
      <c r="K47" s="19" t="s">
        <v>93</v>
      </c>
      <c r="L47" s="19" t="s">
        <v>36</v>
      </c>
      <c r="M47" s="19"/>
      <c r="N47" s="18" t="s">
        <v>27</v>
      </c>
      <c r="O47" s="22" t="n">
        <v>0</v>
      </c>
      <c r="P47" s="20"/>
    </row>
    <row r="48" customFormat="false" ht="15" hidden="false" customHeight="true" outlineLevel="0" collapsed="false">
      <c r="A48" s="13" t="n">
        <v>42</v>
      </c>
      <c r="B48" s="14" t="s">
        <v>189</v>
      </c>
      <c r="C48" s="14" t="s">
        <v>182</v>
      </c>
      <c r="D48" s="14" t="s">
        <v>183</v>
      </c>
      <c r="E48" s="15" t="s">
        <v>190</v>
      </c>
      <c r="F48" s="13" t="n">
        <v>3</v>
      </c>
      <c r="G48" s="16" t="n">
        <f aca="false">WORKDAY($B$3,30)</f>
        <v>45943</v>
      </c>
      <c r="H48" s="16" t="n">
        <f aca="false">WORKDAY(G48,2)</f>
        <v>45945</v>
      </c>
      <c r="I48" s="13" t="s">
        <v>191</v>
      </c>
      <c r="J48" s="14" t="s">
        <v>93</v>
      </c>
      <c r="K48" s="14" t="s">
        <v>53</v>
      </c>
      <c r="L48" s="14" t="s">
        <v>71</v>
      </c>
      <c r="M48" s="14"/>
      <c r="N48" s="13" t="s">
        <v>27</v>
      </c>
      <c r="O48" s="17" t="n">
        <v>0</v>
      </c>
      <c r="P48" s="15" t="s">
        <v>192</v>
      </c>
    </row>
    <row r="49" customFormat="false" ht="15" hidden="false" customHeight="true" outlineLevel="0" collapsed="false">
      <c r="A49" s="18" t="n">
        <v>43</v>
      </c>
      <c r="B49" s="19" t="s">
        <v>193</v>
      </c>
      <c r="C49" s="19" t="s">
        <v>182</v>
      </c>
      <c r="D49" s="19" t="s">
        <v>183</v>
      </c>
      <c r="E49" s="20" t="s">
        <v>194</v>
      </c>
      <c r="F49" s="18" t="n">
        <v>2</v>
      </c>
      <c r="G49" s="21" t="n">
        <f aca="false">WORKDAY($B$3,33)</f>
        <v>45946</v>
      </c>
      <c r="H49" s="21" t="n">
        <f aca="false">WORKDAY(G49,1)</f>
        <v>45947</v>
      </c>
      <c r="I49" s="18" t="s">
        <v>195</v>
      </c>
      <c r="J49" s="19" t="s">
        <v>93</v>
      </c>
      <c r="K49" s="19"/>
      <c r="L49" s="19" t="s">
        <v>71</v>
      </c>
      <c r="M49" s="19"/>
      <c r="N49" s="18" t="s">
        <v>27</v>
      </c>
      <c r="O49" s="22" t="n">
        <v>0</v>
      </c>
      <c r="P49" s="20" t="s">
        <v>196</v>
      </c>
    </row>
    <row r="50" customFormat="false" ht="15" hidden="false" customHeight="true" outlineLevel="0" collapsed="false">
      <c r="A50" s="13" t="n">
        <v>44</v>
      </c>
      <c r="B50" s="14" t="s">
        <v>197</v>
      </c>
      <c r="C50" s="14" t="s">
        <v>182</v>
      </c>
      <c r="D50" s="14" t="s">
        <v>183</v>
      </c>
      <c r="E50" s="15" t="s">
        <v>198</v>
      </c>
      <c r="F50" s="13" t="n">
        <v>2</v>
      </c>
      <c r="G50" s="16" t="n">
        <f aca="false">WORKDAY($B$3,30)</f>
        <v>45943</v>
      </c>
      <c r="H50" s="16" t="n">
        <f aca="false">WORKDAY(G50,1)</f>
        <v>45944</v>
      </c>
      <c r="I50" s="13" t="s">
        <v>199</v>
      </c>
      <c r="J50" s="14" t="s">
        <v>93</v>
      </c>
      <c r="K50" s="14"/>
      <c r="L50" s="14" t="s">
        <v>71</v>
      </c>
      <c r="M50" s="14"/>
      <c r="N50" s="13" t="s">
        <v>27</v>
      </c>
      <c r="O50" s="17" t="n">
        <v>0</v>
      </c>
      <c r="P50" s="15" t="s">
        <v>200</v>
      </c>
    </row>
    <row r="51" customFormat="false" ht="15" hidden="false" customHeight="true" outlineLevel="0" collapsed="false">
      <c r="A51" s="18" t="n">
        <v>45</v>
      </c>
      <c r="B51" s="19" t="s">
        <v>201</v>
      </c>
      <c r="C51" s="19" t="s">
        <v>182</v>
      </c>
      <c r="D51" s="19" t="s">
        <v>183</v>
      </c>
      <c r="E51" s="20" t="s">
        <v>202</v>
      </c>
      <c r="F51" s="18" t="n">
        <v>2</v>
      </c>
      <c r="G51" s="21" t="n">
        <f aca="false">WORKDAY($B$3,30)</f>
        <v>45943</v>
      </c>
      <c r="H51" s="21" t="n">
        <f aca="false">WORKDAY(G51,1)</f>
        <v>45944</v>
      </c>
      <c r="I51" s="18" t="s">
        <v>203</v>
      </c>
      <c r="J51" s="19" t="s">
        <v>93</v>
      </c>
      <c r="K51" s="19"/>
      <c r="L51" s="19" t="s">
        <v>71</v>
      </c>
      <c r="M51" s="19" t="s">
        <v>117</v>
      </c>
      <c r="N51" s="18" t="s">
        <v>27</v>
      </c>
      <c r="O51" s="22" t="n">
        <v>0</v>
      </c>
      <c r="P51" s="20" t="s">
        <v>204</v>
      </c>
    </row>
    <row r="52" customFormat="false" ht="15" hidden="false" customHeight="true" outlineLevel="0" collapsed="false">
      <c r="A52" s="13" t="n">
        <v>46</v>
      </c>
      <c r="B52" s="14" t="s">
        <v>205</v>
      </c>
      <c r="C52" s="14" t="s">
        <v>182</v>
      </c>
      <c r="D52" s="14" t="s">
        <v>183</v>
      </c>
      <c r="E52" s="15" t="s">
        <v>206</v>
      </c>
      <c r="F52" s="13" t="n">
        <v>2</v>
      </c>
      <c r="G52" s="16" t="n">
        <f aca="false">WORKDAY($B$3,32)</f>
        <v>45945</v>
      </c>
      <c r="H52" s="16" t="n">
        <f aca="false">WORKDAY(G52,1)</f>
        <v>45946</v>
      </c>
      <c r="I52" s="13" t="s">
        <v>207</v>
      </c>
      <c r="J52" s="14" t="s">
        <v>93</v>
      </c>
      <c r="K52" s="14"/>
      <c r="L52" s="14" t="s">
        <v>71</v>
      </c>
      <c r="M52" s="14"/>
      <c r="N52" s="13" t="s">
        <v>27</v>
      </c>
      <c r="O52" s="17" t="n">
        <v>0</v>
      </c>
      <c r="P52" s="15" t="s">
        <v>208</v>
      </c>
    </row>
    <row r="53" customFormat="false" ht="15" hidden="false" customHeight="true" outlineLevel="0" collapsed="false">
      <c r="A53" s="18" t="n">
        <v>47</v>
      </c>
      <c r="B53" s="19" t="s">
        <v>209</v>
      </c>
      <c r="C53" s="19" t="s">
        <v>182</v>
      </c>
      <c r="D53" s="19" t="s">
        <v>183</v>
      </c>
      <c r="E53" s="20" t="s">
        <v>210</v>
      </c>
      <c r="F53" s="18" t="n">
        <v>2</v>
      </c>
      <c r="G53" s="21" t="n">
        <f aca="false">WORKDAY($B$3,32)</f>
        <v>45945</v>
      </c>
      <c r="H53" s="21" t="n">
        <f aca="false">WORKDAY(G53,1)</f>
        <v>45946</v>
      </c>
      <c r="I53" s="18" t="s">
        <v>207</v>
      </c>
      <c r="J53" s="19" t="s">
        <v>93</v>
      </c>
      <c r="K53" s="19"/>
      <c r="L53" s="19" t="s">
        <v>71</v>
      </c>
      <c r="M53" s="19" t="s">
        <v>43</v>
      </c>
      <c r="N53" s="18" t="s">
        <v>27</v>
      </c>
      <c r="O53" s="22" t="n">
        <v>0</v>
      </c>
      <c r="P53" s="20" t="s">
        <v>211</v>
      </c>
    </row>
    <row r="54" customFormat="false" ht="15" hidden="false" customHeight="true" outlineLevel="0" collapsed="false">
      <c r="A54" s="13" t="n">
        <v>48</v>
      </c>
      <c r="B54" s="14" t="s">
        <v>212</v>
      </c>
      <c r="C54" s="14" t="s">
        <v>182</v>
      </c>
      <c r="D54" s="14" t="s">
        <v>183</v>
      </c>
      <c r="E54" s="15" t="s">
        <v>213</v>
      </c>
      <c r="F54" s="13" t="n">
        <v>2</v>
      </c>
      <c r="G54" s="16" t="n">
        <f aca="false">WORKDAY($B$3,34)</f>
        <v>45947</v>
      </c>
      <c r="H54" s="16" t="n">
        <f aca="false">WORKDAY(G54,1)</f>
        <v>45950</v>
      </c>
      <c r="I54" s="13" t="s">
        <v>214</v>
      </c>
      <c r="J54" s="14" t="s">
        <v>93</v>
      </c>
      <c r="K54" s="14"/>
      <c r="L54" s="14" t="s">
        <v>71</v>
      </c>
      <c r="M54" s="14"/>
      <c r="N54" s="13" t="s">
        <v>27</v>
      </c>
      <c r="O54" s="17" t="n">
        <v>0</v>
      </c>
      <c r="P54" s="15" t="s">
        <v>215</v>
      </c>
    </row>
    <row r="55" customFormat="false" ht="15" hidden="false" customHeight="true" outlineLevel="0" collapsed="false">
      <c r="A55" s="18" t="n">
        <v>49</v>
      </c>
      <c r="B55" s="19" t="s">
        <v>216</v>
      </c>
      <c r="C55" s="19" t="s">
        <v>182</v>
      </c>
      <c r="D55" s="19" t="s">
        <v>183</v>
      </c>
      <c r="E55" s="20" t="s">
        <v>217</v>
      </c>
      <c r="F55" s="18" t="n">
        <v>1</v>
      </c>
      <c r="G55" s="21" t="n">
        <f aca="false">WORKDAY($B$3,36)</f>
        <v>45951</v>
      </c>
      <c r="H55" s="21" t="n">
        <f aca="false">WORKDAY(G55,0)</f>
        <v>45951</v>
      </c>
      <c r="I55" s="18" t="s">
        <v>218</v>
      </c>
      <c r="J55" s="19" t="s">
        <v>52</v>
      </c>
      <c r="K55" s="19" t="s">
        <v>42</v>
      </c>
      <c r="L55" s="19" t="s">
        <v>71</v>
      </c>
      <c r="M55" s="19"/>
      <c r="N55" s="18" t="s">
        <v>27</v>
      </c>
      <c r="O55" s="22" t="n">
        <v>0</v>
      </c>
      <c r="P55" s="20" t="s">
        <v>219</v>
      </c>
    </row>
    <row r="56" customFormat="false" ht="15" hidden="false" customHeight="true" outlineLevel="0" collapsed="false">
      <c r="A56" s="13" t="n">
        <v>50</v>
      </c>
      <c r="B56" s="14" t="s">
        <v>220</v>
      </c>
      <c r="C56" s="14" t="s">
        <v>182</v>
      </c>
      <c r="D56" s="14" t="s">
        <v>183</v>
      </c>
      <c r="E56" s="15" t="s">
        <v>221</v>
      </c>
      <c r="F56" s="13" t="n">
        <v>1</v>
      </c>
      <c r="G56" s="16" t="n">
        <f aca="false">WORKDAY($B$3,38)</f>
        <v>45953</v>
      </c>
      <c r="H56" s="16" t="n">
        <f aca="false">WORKDAY(G56,0)</f>
        <v>45953</v>
      </c>
      <c r="I56" s="13" t="s">
        <v>222</v>
      </c>
      <c r="J56" s="14" t="s">
        <v>93</v>
      </c>
      <c r="K56" s="14" t="s">
        <v>24</v>
      </c>
      <c r="L56" s="14" t="s">
        <v>26</v>
      </c>
      <c r="M56" s="14" t="s">
        <v>71</v>
      </c>
      <c r="N56" s="13" t="s">
        <v>27</v>
      </c>
      <c r="O56" s="17" t="n">
        <v>0</v>
      </c>
      <c r="P56" s="15" t="s">
        <v>223</v>
      </c>
    </row>
    <row r="57" customFormat="false" ht="15" hidden="false" customHeight="true" outlineLevel="0" collapsed="false">
      <c r="A57" s="18" t="n">
        <v>51</v>
      </c>
      <c r="B57" s="19" t="s">
        <v>224</v>
      </c>
      <c r="C57" s="19" t="s">
        <v>182</v>
      </c>
      <c r="D57" s="19" t="s">
        <v>183</v>
      </c>
      <c r="E57" s="20" t="s">
        <v>225</v>
      </c>
      <c r="F57" s="18" t="n">
        <v>1</v>
      </c>
      <c r="G57" s="21" t="n">
        <f aca="false">WORKDAY($B$3,39)</f>
        <v>45954</v>
      </c>
      <c r="H57" s="21" t="n">
        <f aca="false">WORKDAY(G57,0)</f>
        <v>45954</v>
      </c>
      <c r="I57" s="18" t="s">
        <v>226</v>
      </c>
      <c r="J57" s="19" t="s">
        <v>24</v>
      </c>
      <c r="K57" s="19" t="s">
        <v>42</v>
      </c>
      <c r="L57" s="19" t="s">
        <v>36</v>
      </c>
      <c r="M57" s="19"/>
      <c r="N57" s="18" t="s">
        <v>27</v>
      </c>
      <c r="O57" s="22" t="n">
        <v>0</v>
      </c>
      <c r="P57" s="20"/>
    </row>
    <row r="58" customFormat="false" ht="15" hidden="false" customHeight="true" outlineLevel="0" collapsed="false">
      <c r="A58" s="23" t="n">
        <v>52</v>
      </c>
      <c r="B58" s="24" t="s">
        <v>227</v>
      </c>
      <c r="C58" s="24" t="s">
        <v>182</v>
      </c>
      <c r="D58" s="24" t="s">
        <v>183</v>
      </c>
      <c r="E58" s="25" t="s">
        <v>228</v>
      </c>
      <c r="F58" s="23" t="s">
        <v>82</v>
      </c>
      <c r="G58" s="26" t="n">
        <f aca="false">WORKDAY($B$3,39)</f>
        <v>45954</v>
      </c>
      <c r="H58" s="26" t="n">
        <f aca="false">G58</f>
        <v>45954</v>
      </c>
      <c r="I58" s="23" t="s">
        <v>229</v>
      </c>
      <c r="J58" s="24"/>
      <c r="K58" s="24"/>
      <c r="L58" s="24"/>
      <c r="M58" s="24"/>
      <c r="N58" s="23" t="s">
        <v>27</v>
      </c>
      <c r="O58" s="27" t="n">
        <v>0</v>
      </c>
      <c r="P58" s="25"/>
    </row>
    <row r="59" customFormat="false" ht="18" hidden="false" customHeight="true" outlineLevel="0" collapsed="false">
      <c r="A59" s="8" t="n">
        <v>53</v>
      </c>
      <c r="B59" s="9" t="s">
        <v>47</v>
      </c>
      <c r="C59" s="9" t="s">
        <v>182</v>
      </c>
      <c r="D59" s="9" t="s">
        <v>230</v>
      </c>
      <c r="E59" s="10" t="s">
        <v>231</v>
      </c>
      <c r="F59" s="8" t="n">
        <v>10</v>
      </c>
      <c r="G59" s="11" t="n">
        <f aca="false">WORKDAY($B$3,40)</f>
        <v>45957</v>
      </c>
      <c r="H59" s="11" t="n">
        <f aca="false">WORKDAY(G59,9)</f>
        <v>45968</v>
      </c>
      <c r="I59" s="8"/>
      <c r="J59" s="9" t="s">
        <v>93</v>
      </c>
      <c r="K59" s="9" t="s">
        <v>53</v>
      </c>
      <c r="L59" s="9" t="s">
        <v>232</v>
      </c>
      <c r="M59" s="9" t="s">
        <v>36</v>
      </c>
      <c r="N59" s="8" t="s">
        <v>27</v>
      </c>
      <c r="O59" s="12" t="n">
        <v>0</v>
      </c>
      <c r="P59" s="10" t="s">
        <v>233</v>
      </c>
    </row>
    <row r="60" customFormat="false" ht="15" hidden="false" customHeight="true" outlineLevel="0" collapsed="false">
      <c r="A60" s="13" t="n">
        <v>54</v>
      </c>
      <c r="B60" s="14" t="s">
        <v>234</v>
      </c>
      <c r="C60" s="14" t="s">
        <v>182</v>
      </c>
      <c r="D60" s="14" t="s">
        <v>230</v>
      </c>
      <c r="E60" s="15" t="s">
        <v>235</v>
      </c>
      <c r="F60" s="13" t="n">
        <v>1</v>
      </c>
      <c r="G60" s="16" t="n">
        <f aca="false">WORKDAY($B$3,40)</f>
        <v>45957</v>
      </c>
      <c r="H60" s="16" t="n">
        <f aca="false">WORKDAY(G60,0)</f>
        <v>45957</v>
      </c>
      <c r="I60" s="13" t="s">
        <v>236</v>
      </c>
      <c r="J60" s="14" t="s">
        <v>41</v>
      </c>
      <c r="K60" s="14" t="s">
        <v>93</v>
      </c>
      <c r="L60" s="14" t="s">
        <v>36</v>
      </c>
      <c r="M60" s="14"/>
      <c r="N60" s="13" t="s">
        <v>27</v>
      </c>
      <c r="O60" s="17" t="n">
        <v>0</v>
      </c>
      <c r="P60" s="15"/>
    </row>
    <row r="61" customFormat="false" ht="15" hidden="false" customHeight="true" outlineLevel="0" collapsed="false">
      <c r="A61" s="18" t="n">
        <v>55</v>
      </c>
      <c r="B61" s="19" t="s">
        <v>237</v>
      </c>
      <c r="C61" s="19" t="s">
        <v>182</v>
      </c>
      <c r="D61" s="19" t="s">
        <v>230</v>
      </c>
      <c r="E61" s="20" t="s">
        <v>238</v>
      </c>
      <c r="F61" s="18" t="n">
        <v>3</v>
      </c>
      <c r="G61" s="21" t="n">
        <f aca="false">WORKDAY($B$3,40)</f>
        <v>45957</v>
      </c>
      <c r="H61" s="21" t="n">
        <f aca="false">WORKDAY(G61,2)</f>
        <v>45959</v>
      </c>
      <c r="I61" s="18" t="s">
        <v>239</v>
      </c>
      <c r="J61" s="19" t="s">
        <v>93</v>
      </c>
      <c r="K61" s="19" t="s">
        <v>53</v>
      </c>
      <c r="L61" s="19" t="s">
        <v>71</v>
      </c>
      <c r="M61" s="19"/>
      <c r="N61" s="18" t="s">
        <v>27</v>
      </c>
      <c r="O61" s="22" t="n">
        <v>0</v>
      </c>
      <c r="P61" s="20" t="s">
        <v>240</v>
      </c>
    </row>
    <row r="62" customFormat="false" ht="15" hidden="false" customHeight="true" outlineLevel="0" collapsed="false">
      <c r="A62" s="13" t="n">
        <v>56</v>
      </c>
      <c r="B62" s="14" t="s">
        <v>241</v>
      </c>
      <c r="C62" s="14" t="s">
        <v>182</v>
      </c>
      <c r="D62" s="14" t="s">
        <v>230</v>
      </c>
      <c r="E62" s="15" t="s">
        <v>242</v>
      </c>
      <c r="F62" s="13" t="n">
        <v>2</v>
      </c>
      <c r="G62" s="16" t="n">
        <f aca="false">WORKDAY($B$3,43)</f>
        <v>45960</v>
      </c>
      <c r="H62" s="16" t="n">
        <f aca="false">WORKDAY(G62,1)</f>
        <v>45961</v>
      </c>
      <c r="I62" s="13" t="s">
        <v>243</v>
      </c>
      <c r="J62" s="14" t="s">
        <v>42</v>
      </c>
      <c r="K62" s="14" t="s">
        <v>52</v>
      </c>
      <c r="L62" s="14" t="s">
        <v>71</v>
      </c>
      <c r="M62" s="14" t="s">
        <v>35</v>
      </c>
      <c r="N62" s="13" t="s">
        <v>27</v>
      </c>
      <c r="O62" s="17" t="n">
        <v>0</v>
      </c>
      <c r="P62" s="15" t="s">
        <v>244</v>
      </c>
    </row>
    <row r="63" customFormat="false" ht="15" hidden="false" customHeight="true" outlineLevel="0" collapsed="false">
      <c r="A63" s="18" t="n">
        <v>57</v>
      </c>
      <c r="B63" s="19" t="s">
        <v>245</v>
      </c>
      <c r="C63" s="19" t="s">
        <v>182</v>
      </c>
      <c r="D63" s="19" t="s">
        <v>230</v>
      </c>
      <c r="E63" s="20" t="s">
        <v>246</v>
      </c>
      <c r="F63" s="18" t="n">
        <v>3</v>
      </c>
      <c r="G63" s="21" t="n">
        <f aca="false">WORKDAY($B$3,40)</f>
        <v>45957</v>
      </c>
      <c r="H63" s="21" t="n">
        <f aca="false">WORKDAY(G63,2)</f>
        <v>45959</v>
      </c>
      <c r="I63" s="18" t="s">
        <v>247</v>
      </c>
      <c r="J63" s="19" t="s">
        <v>93</v>
      </c>
      <c r="K63" s="19"/>
      <c r="L63" s="19" t="s">
        <v>117</v>
      </c>
      <c r="M63" s="19"/>
      <c r="N63" s="18" t="s">
        <v>27</v>
      </c>
      <c r="O63" s="22" t="n">
        <v>0</v>
      </c>
      <c r="P63" s="20" t="s">
        <v>248</v>
      </c>
    </row>
    <row r="64" customFormat="false" ht="15" hidden="false" customHeight="true" outlineLevel="0" collapsed="false">
      <c r="A64" s="13" t="n">
        <v>58</v>
      </c>
      <c r="B64" s="14" t="s">
        <v>249</v>
      </c>
      <c r="C64" s="14" t="s">
        <v>182</v>
      </c>
      <c r="D64" s="14" t="s">
        <v>230</v>
      </c>
      <c r="E64" s="15" t="s">
        <v>250</v>
      </c>
      <c r="F64" s="13" t="n">
        <v>3</v>
      </c>
      <c r="G64" s="16" t="n">
        <f aca="false">WORKDAY($B$3,43)</f>
        <v>45960</v>
      </c>
      <c r="H64" s="16" t="n">
        <f aca="false">WORKDAY(G64,2)</f>
        <v>45964</v>
      </c>
      <c r="I64" s="13" t="s">
        <v>251</v>
      </c>
      <c r="J64" s="14" t="s">
        <v>93</v>
      </c>
      <c r="K64" s="14"/>
      <c r="L64" s="14" t="s">
        <v>117</v>
      </c>
      <c r="M64" s="14"/>
      <c r="N64" s="13" t="s">
        <v>27</v>
      </c>
      <c r="O64" s="17" t="n">
        <v>0</v>
      </c>
      <c r="P64" s="15"/>
    </row>
    <row r="65" customFormat="false" ht="15" hidden="false" customHeight="true" outlineLevel="0" collapsed="false">
      <c r="A65" s="18" t="n">
        <v>59</v>
      </c>
      <c r="B65" s="19" t="s">
        <v>252</v>
      </c>
      <c r="C65" s="19" t="s">
        <v>182</v>
      </c>
      <c r="D65" s="19" t="s">
        <v>230</v>
      </c>
      <c r="E65" s="20" t="s">
        <v>253</v>
      </c>
      <c r="F65" s="18" t="n">
        <v>2</v>
      </c>
      <c r="G65" s="21" t="n">
        <f aca="false">WORKDAY($B$3,44)</f>
        <v>45961</v>
      </c>
      <c r="H65" s="21" t="n">
        <f aca="false">WORKDAY(G65,1)</f>
        <v>45964</v>
      </c>
      <c r="I65" s="18" t="s">
        <v>251</v>
      </c>
      <c r="J65" s="19" t="s">
        <v>52</v>
      </c>
      <c r="K65" s="19" t="s">
        <v>42</v>
      </c>
      <c r="L65" s="19" t="s">
        <v>117</v>
      </c>
      <c r="M65" s="19"/>
      <c r="N65" s="18" t="s">
        <v>27</v>
      </c>
      <c r="O65" s="22" t="n">
        <v>0</v>
      </c>
      <c r="P65" s="20" t="s">
        <v>254</v>
      </c>
    </row>
    <row r="66" customFormat="false" ht="15" hidden="false" customHeight="true" outlineLevel="0" collapsed="false">
      <c r="A66" s="13" t="n">
        <v>60</v>
      </c>
      <c r="B66" s="14" t="s">
        <v>255</v>
      </c>
      <c r="C66" s="14" t="s">
        <v>182</v>
      </c>
      <c r="D66" s="14" t="s">
        <v>230</v>
      </c>
      <c r="E66" s="15" t="s">
        <v>256</v>
      </c>
      <c r="F66" s="13" t="n">
        <v>3</v>
      </c>
      <c r="G66" s="16" t="n">
        <f aca="false">WORKDAY($B$3,42)</f>
        <v>45959</v>
      </c>
      <c r="H66" s="16" t="n">
        <f aca="false">WORKDAY(G66,2)</f>
        <v>45961</v>
      </c>
      <c r="I66" s="13" t="s">
        <v>239</v>
      </c>
      <c r="J66" s="14" t="s">
        <v>52</v>
      </c>
      <c r="K66" s="14" t="s">
        <v>42</v>
      </c>
      <c r="L66" s="14" t="s">
        <v>257</v>
      </c>
      <c r="M66" s="14" t="s">
        <v>43</v>
      </c>
      <c r="N66" s="13" t="s">
        <v>27</v>
      </c>
      <c r="O66" s="17" t="n">
        <v>0</v>
      </c>
      <c r="P66" s="15" t="s">
        <v>258</v>
      </c>
    </row>
    <row r="67" customFormat="false" ht="15" hidden="false" customHeight="true" outlineLevel="0" collapsed="false">
      <c r="A67" s="18" t="n">
        <v>61</v>
      </c>
      <c r="B67" s="19" t="s">
        <v>259</v>
      </c>
      <c r="C67" s="19" t="s">
        <v>182</v>
      </c>
      <c r="D67" s="19" t="s">
        <v>230</v>
      </c>
      <c r="E67" s="20" t="s">
        <v>260</v>
      </c>
      <c r="F67" s="18" t="n">
        <v>1</v>
      </c>
      <c r="G67" s="21" t="n">
        <f aca="false">WORKDAY($B$3,48)</f>
        <v>45967</v>
      </c>
      <c r="H67" s="21" t="n">
        <f aca="false">WORKDAY(G67,0)</f>
        <v>45967</v>
      </c>
      <c r="I67" s="18" t="s">
        <v>261</v>
      </c>
      <c r="J67" s="19" t="s">
        <v>93</v>
      </c>
      <c r="K67" s="19" t="s">
        <v>24</v>
      </c>
      <c r="L67" s="19" t="s">
        <v>26</v>
      </c>
      <c r="M67" s="19" t="s">
        <v>232</v>
      </c>
      <c r="N67" s="18" t="s">
        <v>27</v>
      </c>
      <c r="O67" s="22" t="n">
        <v>0</v>
      </c>
      <c r="P67" s="20"/>
    </row>
    <row r="68" customFormat="false" ht="15" hidden="false" customHeight="true" outlineLevel="0" collapsed="false">
      <c r="A68" s="13" t="n">
        <v>62</v>
      </c>
      <c r="B68" s="14" t="s">
        <v>262</v>
      </c>
      <c r="C68" s="14" t="s">
        <v>182</v>
      </c>
      <c r="D68" s="14" t="s">
        <v>230</v>
      </c>
      <c r="E68" s="15" t="s">
        <v>263</v>
      </c>
      <c r="F68" s="13" t="n">
        <v>1</v>
      </c>
      <c r="G68" s="16" t="n">
        <f aca="false">WORKDAY($B$3,49)</f>
        <v>45968</v>
      </c>
      <c r="H68" s="16" t="n">
        <f aca="false">WORKDAY(G68,0)</f>
        <v>45968</v>
      </c>
      <c r="I68" s="13" t="s">
        <v>264</v>
      </c>
      <c r="J68" s="14" t="s">
        <v>24</v>
      </c>
      <c r="K68" s="14" t="s">
        <v>42</v>
      </c>
      <c r="L68" s="14" t="s">
        <v>36</v>
      </c>
      <c r="M68" s="14"/>
      <c r="N68" s="13" t="s">
        <v>27</v>
      </c>
      <c r="O68" s="17" t="n">
        <v>0</v>
      </c>
      <c r="P68" s="15"/>
    </row>
    <row r="69" customFormat="false" ht="15" hidden="false" customHeight="true" outlineLevel="0" collapsed="false">
      <c r="A69" s="23" t="n">
        <v>63</v>
      </c>
      <c r="B69" s="24" t="s">
        <v>265</v>
      </c>
      <c r="C69" s="24" t="s">
        <v>182</v>
      </c>
      <c r="D69" s="24" t="s">
        <v>230</v>
      </c>
      <c r="E69" s="25" t="s">
        <v>266</v>
      </c>
      <c r="F69" s="23" t="s">
        <v>82</v>
      </c>
      <c r="G69" s="26" t="n">
        <f aca="false">WORKDAY($B$3,49)</f>
        <v>45968</v>
      </c>
      <c r="H69" s="26" t="n">
        <f aca="false">G69</f>
        <v>45968</v>
      </c>
      <c r="I69" s="23" t="s">
        <v>267</v>
      </c>
      <c r="J69" s="24"/>
      <c r="K69" s="24"/>
      <c r="L69" s="24"/>
      <c r="M69" s="24"/>
      <c r="N69" s="23" t="s">
        <v>27</v>
      </c>
      <c r="O69" s="27" t="n">
        <v>0</v>
      </c>
      <c r="P69" s="25"/>
    </row>
    <row r="70" customFormat="false" ht="18" hidden="false" customHeight="true" outlineLevel="0" collapsed="false">
      <c r="A70" s="8" t="n">
        <v>64</v>
      </c>
      <c r="B70" s="9" t="s">
        <v>268</v>
      </c>
      <c r="C70" s="9" t="s">
        <v>269</v>
      </c>
      <c r="D70" s="9" t="s">
        <v>270</v>
      </c>
      <c r="E70" s="10" t="s">
        <v>271</v>
      </c>
      <c r="F70" s="8" t="n">
        <v>10</v>
      </c>
      <c r="G70" s="11" t="n">
        <f aca="false">WORKDAY($B$3,50)</f>
        <v>45971</v>
      </c>
      <c r="H70" s="11" t="n">
        <f aca="false">WORKDAY(G70,9)</f>
        <v>45982</v>
      </c>
      <c r="I70" s="8"/>
      <c r="J70" s="9" t="s">
        <v>93</v>
      </c>
      <c r="K70" s="9" t="s">
        <v>53</v>
      </c>
      <c r="L70" s="9" t="s">
        <v>272</v>
      </c>
      <c r="M70" s="9" t="s">
        <v>43</v>
      </c>
      <c r="N70" s="8" t="s">
        <v>27</v>
      </c>
      <c r="O70" s="12" t="n">
        <v>0</v>
      </c>
      <c r="P70" s="10" t="s">
        <v>273</v>
      </c>
    </row>
    <row r="71" customFormat="false" ht="15" hidden="false" customHeight="true" outlineLevel="0" collapsed="false">
      <c r="A71" s="18" t="n">
        <v>65</v>
      </c>
      <c r="B71" s="19" t="s">
        <v>274</v>
      </c>
      <c r="C71" s="19" t="s">
        <v>269</v>
      </c>
      <c r="D71" s="19" t="s">
        <v>270</v>
      </c>
      <c r="E71" s="20" t="s">
        <v>275</v>
      </c>
      <c r="F71" s="18" t="n">
        <v>1</v>
      </c>
      <c r="G71" s="21" t="n">
        <f aca="false">WORKDAY($B$3,50)</f>
        <v>45971</v>
      </c>
      <c r="H71" s="21" t="n">
        <f aca="false">WORKDAY(G71,0)</f>
        <v>45971</v>
      </c>
      <c r="I71" s="18" t="s">
        <v>276</v>
      </c>
      <c r="J71" s="19" t="s">
        <v>41</v>
      </c>
      <c r="K71" s="19" t="s">
        <v>93</v>
      </c>
      <c r="L71" s="19" t="s">
        <v>36</v>
      </c>
      <c r="M71" s="19"/>
      <c r="N71" s="18" t="s">
        <v>27</v>
      </c>
      <c r="O71" s="22" t="n">
        <v>0</v>
      </c>
      <c r="P71" s="20"/>
    </row>
    <row r="72" customFormat="false" ht="15" hidden="false" customHeight="true" outlineLevel="0" collapsed="false">
      <c r="A72" s="13" t="n">
        <v>66</v>
      </c>
      <c r="B72" s="14" t="s">
        <v>277</v>
      </c>
      <c r="C72" s="14" t="s">
        <v>269</v>
      </c>
      <c r="D72" s="14" t="s">
        <v>270</v>
      </c>
      <c r="E72" s="15" t="s">
        <v>278</v>
      </c>
      <c r="F72" s="13" t="n">
        <v>3</v>
      </c>
      <c r="G72" s="16" t="n">
        <f aca="false">WORKDAY($B$3,50)</f>
        <v>45971</v>
      </c>
      <c r="H72" s="16" t="n">
        <f aca="false">WORKDAY(G72,2)</f>
        <v>45973</v>
      </c>
      <c r="I72" s="13" t="s">
        <v>279</v>
      </c>
      <c r="J72" s="14" t="s">
        <v>52</v>
      </c>
      <c r="K72" s="14" t="s">
        <v>42</v>
      </c>
      <c r="L72" s="14" t="s">
        <v>257</v>
      </c>
      <c r="M72" s="14" t="s">
        <v>43</v>
      </c>
      <c r="N72" s="13" t="s">
        <v>27</v>
      </c>
      <c r="O72" s="17" t="n">
        <v>0</v>
      </c>
      <c r="P72" s="15" t="s">
        <v>280</v>
      </c>
    </row>
    <row r="73" customFormat="false" ht="15" hidden="false" customHeight="true" outlineLevel="0" collapsed="false">
      <c r="A73" s="18" t="n">
        <v>67</v>
      </c>
      <c r="B73" s="19" t="s">
        <v>281</v>
      </c>
      <c r="C73" s="19" t="s">
        <v>269</v>
      </c>
      <c r="D73" s="19" t="s">
        <v>270</v>
      </c>
      <c r="E73" s="20" t="s">
        <v>282</v>
      </c>
      <c r="F73" s="18" t="n">
        <v>2</v>
      </c>
      <c r="G73" s="21" t="n">
        <f aca="false">WORKDAY($B$3,50)</f>
        <v>45971</v>
      </c>
      <c r="H73" s="21" t="n">
        <f aca="false">WORKDAY(G73,1)</f>
        <v>45972</v>
      </c>
      <c r="I73" s="18" t="s">
        <v>283</v>
      </c>
      <c r="J73" s="19" t="s">
        <v>42</v>
      </c>
      <c r="K73" s="19" t="s">
        <v>52</v>
      </c>
      <c r="L73" s="19" t="s">
        <v>284</v>
      </c>
      <c r="M73" s="19"/>
      <c r="N73" s="18" t="s">
        <v>27</v>
      </c>
      <c r="O73" s="22" t="n">
        <v>0</v>
      </c>
      <c r="P73" s="20" t="s">
        <v>285</v>
      </c>
    </row>
    <row r="74" customFormat="false" ht="15" hidden="false" customHeight="true" outlineLevel="0" collapsed="false">
      <c r="A74" s="13" t="n">
        <v>68</v>
      </c>
      <c r="B74" s="14" t="s">
        <v>286</v>
      </c>
      <c r="C74" s="14" t="s">
        <v>269</v>
      </c>
      <c r="D74" s="14" t="s">
        <v>270</v>
      </c>
      <c r="E74" s="15" t="s">
        <v>287</v>
      </c>
      <c r="F74" s="13" t="n">
        <v>1</v>
      </c>
      <c r="G74" s="16" t="n">
        <f aca="false">WORKDAY($B$3,50)</f>
        <v>45971</v>
      </c>
      <c r="H74" s="16" t="n">
        <f aca="false">WORKDAY(G74,0)</f>
        <v>45971</v>
      </c>
      <c r="I74" s="13" t="s">
        <v>283</v>
      </c>
      <c r="J74" s="14" t="s">
        <v>42</v>
      </c>
      <c r="K74" s="14" t="s">
        <v>53</v>
      </c>
      <c r="L74" s="14" t="s">
        <v>284</v>
      </c>
      <c r="M74" s="14" t="s">
        <v>36</v>
      </c>
      <c r="N74" s="13" t="s">
        <v>27</v>
      </c>
      <c r="O74" s="17" t="n">
        <v>0</v>
      </c>
      <c r="P74" s="15" t="s">
        <v>288</v>
      </c>
    </row>
    <row r="75" customFormat="false" ht="15" hidden="false" customHeight="true" outlineLevel="0" collapsed="false">
      <c r="A75" s="18" t="n">
        <v>69</v>
      </c>
      <c r="B75" s="19" t="s">
        <v>289</v>
      </c>
      <c r="C75" s="19" t="s">
        <v>269</v>
      </c>
      <c r="D75" s="19" t="s">
        <v>270</v>
      </c>
      <c r="E75" s="20" t="s">
        <v>290</v>
      </c>
      <c r="F75" s="18" t="n">
        <v>3</v>
      </c>
      <c r="G75" s="21" t="n">
        <f aca="false">WORKDAY($B$3,51)</f>
        <v>45972</v>
      </c>
      <c r="H75" s="21" t="n">
        <f aca="false">WORKDAY(G75,2)</f>
        <v>45974</v>
      </c>
      <c r="I75" s="18" t="s">
        <v>291</v>
      </c>
      <c r="J75" s="19" t="s">
        <v>52</v>
      </c>
      <c r="K75" s="19" t="s">
        <v>42</v>
      </c>
      <c r="L75" s="19" t="s">
        <v>71</v>
      </c>
      <c r="M75" s="19"/>
      <c r="N75" s="18" t="s">
        <v>27</v>
      </c>
      <c r="O75" s="22" t="n">
        <v>0</v>
      </c>
      <c r="P75" s="20" t="s">
        <v>292</v>
      </c>
    </row>
    <row r="76" customFormat="false" ht="15" hidden="false" customHeight="true" outlineLevel="0" collapsed="false">
      <c r="A76" s="13" t="n">
        <v>70</v>
      </c>
      <c r="B76" s="14" t="s">
        <v>293</v>
      </c>
      <c r="C76" s="14" t="s">
        <v>269</v>
      </c>
      <c r="D76" s="14" t="s">
        <v>270</v>
      </c>
      <c r="E76" s="15" t="s">
        <v>294</v>
      </c>
      <c r="F76" s="13" t="n">
        <v>2</v>
      </c>
      <c r="G76" s="16" t="n">
        <f aca="false">WORKDAY($B$3,53)</f>
        <v>45974</v>
      </c>
      <c r="H76" s="16" t="n">
        <f aca="false">WORKDAY(G76,1)</f>
        <v>45975</v>
      </c>
      <c r="I76" s="13" t="s">
        <v>283</v>
      </c>
      <c r="J76" s="14" t="s">
        <v>48</v>
      </c>
      <c r="K76" s="14"/>
      <c r="L76" s="14" t="s">
        <v>43</v>
      </c>
      <c r="M76" s="14"/>
      <c r="N76" s="13" t="s">
        <v>27</v>
      </c>
      <c r="O76" s="17" t="n">
        <v>0</v>
      </c>
      <c r="P76" s="15" t="s">
        <v>295</v>
      </c>
    </row>
    <row r="77" customFormat="false" ht="15" hidden="false" customHeight="true" outlineLevel="0" collapsed="false">
      <c r="A77" s="18" t="n">
        <v>71</v>
      </c>
      <c r="B77" s="19" t="s">
        <v>296</v>
      </c>
      <c r="C77" s="19" t="s">
        <v>269</v>
      </c>
      <c r="D77" s="19" t="s">
        <v>270</v>
      </c>
      <c r="E77" s="20" t="s">
        <v>297</v>
      </c>
      <c r="F77" s="18" t="n">
        <v>1</v>
      </c>
      <c r="G77" s="21" t="n">
        <f aca="false">WORKDAY($B$3,50)</f>
        <v>45971</v>
      </c>
      <c r="H77" s="21" t="n">
        <f aca="false">WORKDAY(G77,0)</f>
        <v>45971</v>
      </c>
      <c r="I77" s="18" t="s">
        <v>283</v>
      </c>
      <c r="J77" s="19" t="s">
        <v>42</v>
      </c>
      <c r="K77" s="19" t="s">
        <v>53</v>
      </c>
      <c r="L77" s="19" t="s">
        <v>298</v>
      </c>
      <c r="M77" s="19" t="s">
        <v>71</v>
      </c>
      <c r="N77" s="18" t="s">
        <v>27</v>
      </c>
      <c r="O77" s="22" t="n">
        <v>0</v>
      </c>
      <c r="P77" s="20" t="s">
        <v>299</v>
      </c>
    </row>
    <row r="78" customFormat="false" ht="15" hidden="false" customHeight="true" outlineLevel="0" collapsed="false">
      <c r="A78" s="13" t="n">
        <v>72</v>
      </c>
      <c r="B78" s="14" t="s">
        <v>300</v>
      </c>
      <c r="C78" s="14" t="s">
        <v>269</v>
      </c>
      <c r="D78" s="14" t="s">
        <v>270</v>
      </c>
      <c r="E78" s="15" t="s">
        <v>301</v>
      </c>
      <c r="F78" s="13" t="n">
        <v>3</v>
      </c>
      <c r="G78" s="16" t="n">
        <f aca="false">WORKDAY($B$3,51)</f>
        <v>45972</v>
      </c>
      <c r="H78" s="16" t="n">
        <f aca="false">WORKDAY(G78,2)</f>
        <v>45974</v>
      </c>
      <c r="I78" s="13" t="s">
        <v>302</v>
      </c>
      <c r="J78" s="14" t="s">
        <v>52</v>
      </c>
      <c r="K78" s="14" t="s">
        <v>42</v>
      </c>
      <c r="L78" s="14" t="s">
        <v>36</v>
      </c>
      <c r="M78" s="14"/>
      <c r="N78" s="13" t="s">
        <v>27</v>
      </c>
      <c r="O78" s="17" t="n">
        <v>0</v>
      </c>
      <c r="P78" s="15" t="s">
        <v>303</v>
      </c>
    </row>
    <row r="79" customFormat="false" ht="15" hidden="false" customHeight="true" outlineLevel="0" collapsed="false">
      <c r="A79" s="18" t="n">
        <v>73</v>
      </c>
      <c r="B79" s="19" t="s">
        <v>304</v>
      </c>
      <c r="C79" s="19" t="s">
        <v>269</v>
      </c>
      <c r="D79" s="19" t="s">
        <v>270</v>
      </c>
      <c r="E79" s="20" t="s">
        <v>305</v>
      </c>
      <c r="F79" s="18" t="n">
        <v>1</v>
      </c>
      <c r="G79" s="21" t="n">
        <f aca="false">WORKDAY($B$3,58)</f>
        <v>45981</v>
      </c>
      <c r="H79" s="21" t="n">
        <f aca="false">WORKDAY(G79,0)</f>
        <v>45981</v>
      </c>
      <c r="I79" s="18" t="s">
        <v>306</v>
      </c>
      <c r="J79" s="19" t="s">
        <v>93</v>
      </c>
      <c r="K79" s="19" t="s">
        <v>24</v>
      </c>
      <c r="L79" s="19" t="s">
        <v>26</v>
      </c>
      <c r="M79" s="19" t="s">
        <v>307</v>
      </c>
      <c r="N79" s="18" t="s">
        <v>27</v>
      </c>
      <c r="O79" s="22" t="n">
        <v>0</v>
      </c>
      <c r="P79" s="20" t="s">
        <v>308</v>
      </c>
    </row>
    <row r="80" customFormat="false" ht="15" hidden="false" customHeight="true" outlineLevel="0" collapsed="false">
      <c r="A80" s="13" t="n">
        <v>74</v>
      </c>
      <c r="B80" s="14" t="s">
        <v>309</v>
      </c>
      <c r="C80" s="14" t="s">
        <v>269</v>
      </c>
      <c r="D80" s="14" t="s">
        <v>270</v>
      </c>
      <c r="E80" s="15" t="s">
        <v>310</v>
      </c>
      <c r="F80" s="13" t="n">
        <v>1</v>
      </c>
      <c r="G80" s="16" t="n">
        <f aca="false">WORKDAY($B$3,59)</f>
        <v>45982</v>
      </c>
      <c r="H80" s="16" t="n">
        <f aca="false">WORKDAY(G80,0)</f>
        <v>45982</v>
      </c>
      <c r="I80" s="13" t="s">
        <v>311</v>
      </c>
      <c r="J80" s="14" t="s">
        <v>24</v>
      </c>
      <c r="K80" s="14" t="s">
        <v>42</v>
      </c>
      <c r="L80" s="14" t="s">
        <v>36</v>
      </c>
      <c r="M80" s="14"/>
      <c r="N80" s="13" t="s">
        <v>27</v>
      </c>
      <c r="O80" s="17" t="n">
        <v>0</v>
      </c>
      <c r="P80" s="15"/>
    </row>
    <row r="81" customFormat="false" ht="15" hidden="false" customHeight="true" outlineLevel="0" collapsed="false">
      <c r="A81" s="23" t="n">
        <v>75</v>
      </c>
      <c r="B81" s="24" t="s">
        <v>312</v>
      </c>
      <c r="C81" s="24" t="s">
        <v>269</v>
      </c>
      <c r="D81" s="24" t="s">
        <v>270</v>
      </c>
      <c r="E81" s="25" t="s">
        <v>313</v>
      </c>
      <c r="F81" s="23" t="s">
        <v>82</v>
      </c>
      <c r="G81" s="26" t="n">
        <f aca="false">WORKDAY($B$3,59)</f>
        <v>45982</v>
      </c>
      <c r="H81" s="26" t="n">
        <f aca="false">G81</f>
        <v>45982</v>
      </c>
      <c r="I81" s="23" t="s">
        <v>314</v>
      </c>
      <c r="J81" s="24"/>
      <c r="K81" s="24"/>
      <c r="L81" s="24"/>
      <c r="M81" s="24"/>
      <c r="N81" s="23" t="s">
        <v>27</v>
      </c>
      <c r="O81" s="27" t="n">
        <v>0</v>
      </c>
      <c r="P81" s="25"/>
    </row>
    <row r="82" customFormat="false" ht="18" hidden="false" customHeight="true" outlineLevel="0" collapsed="false">
      <c r="A82" s="8" t="n">
        <v>76</v>
      </c>
      <c r="B82" s="9" t="s">
        <v>315</v>
      </c>
      <c r="C82" s="9" t="s">
        <v>269</v>
      </c>
      <c r="D82" s="9" t="s">
        <v>316</v>
      </c>
      <c r="E82" s="10" t="s">
        <v>317</v>
      </c>
      <c r="F82" s="8" t="n">
        <v>10</v>
      </c>
      <c r="G82" s="11" t="n">
        <f aca="false">WORKDAY($B$3,60)</f>
        <v>45985</v>
      </c>
      <c r="H82" s="11" t="n">
        <f aca="false">WORKDAY(G82,9)</f>
        <v>45996</v>
      </c>
      <c r="I82" s="8"/>
      <c r="J82" s="9" t="s">
        <v>48</v>
      </c>
      <c r="K82" s="9" t="s">
        <v>42</v>
      </c>
      <c r="L82" s="9" t="s">
        <v>318</v>
      </c>
      <c r="M82" s="9" t="s">
        <v>36</v>
      </c>
      <c r="N82" s="8" t="s">
        <v>27</v>
      </c>
      <c r="O82" s="12" t="n">
        <v>0</v>
      </c>
      <c r="P82" s="10" t="s">
        <v>319</v>
      </c>
    </row>
    <row r="83" customFormat="false" ht="15" hidden="false" customHeight="true" outlineLevel="0" collapsed="false">
      <c r="A83" s="18" t="n">
        <v>77</v>
      </c>
      <c r="B83" s="19" t="s">
        <v>320</v>
      </c>
      <c r="C83" s="19" t="s">
        <v>269</v>
      </c>
      <c r="D83" s="19" t="s">
        <v>316</v>
      </c>
      <c r="E83" s="20" t="s">
        <v>321</v>
      </c>
      <c r="F83" s="18" t="n">
        <v>1</v>
      </c>
      <c r="G83" s="21" t="n">
        <f aca="false">WORKDAY($B$3,60)</f>
        <v>45985</v>
      </c>
      <c r="H83" s="21" t="n">
        <f aca="false">WORKDAY(G83,0)</f>
        <v>45985</v>
      </c>
      <c r="I83" s="18" t="s">
        <v>322</v>
      </c>
      <c r="J83" s="19" t="s">
        <v>41</v>
      </c>
      <c r="K83" s="19" t="s">
        <v>93</v>
      </c>
      <c r="L83" s="19" t="s">
        <v>36</v>
      </c>
      <c r="M83" s="19"/>
      <c r="N83" s="18" t="s">
        <v>27</v>
      </c>
      <c r="O83" s="22" t="n">
        <v>0</v>
      </c>
      <c r="P83" s="20"/>
    </row>
    <row r="84" customFormat="false" ht="15" hidden="false" customHeight="true" outlineLevel="0" collapsed="false">
      <c r="A84" s="13" t="n">
        <v>78</v>
      </c>
      <c r="B84" s="14" t="s">
        <v>323</v>
      </c>
      <c r="C84" s="14" t="s">
        <v>269</v>
      </c>
      <c r="D84" s="14" t="s">
        <v>316</v>
      </c>
      <c r="E84" s="15" t="s">
        <v>324</v>
      </c>
      <c r="F84" s="13" t="n">
        <v>3</v>
      </c>
      <c r="G84" s="16" t="n">
        <f aca="false">WORKDAY($B$3,60)</f>
        <v>45985</v>
      </c>
      <c r="H84" s="16" t="n">
        <f aca="false">WORKDAY(G84,2)</f>
        <v>45987</v>
      </c>
      <c r="I84" s="13" t="s">
        <v>325</v>
      </c>
      <c r="J84" s="14" t="s">
        <v>48</v>
      </c>
      <c r="K84" s="14"/>
      <c r="L84" s="14" t="s">
        <v>326</v>
      </c>
      <c r="M84" s="14" t="s">
        <v>43</v>
      </c>
      <c r="N84" s="13" t="s">
        <v>27</v>
      </c>
      <c r="O84" s="17" t="n">
        <v>0</v>
      </c>
      <c r="P84" s="15" t="s">
        <v>327</v>
      </c>
    </row>
    <row r="85" customFormat="false" ht="15" hidden="false" customHeight="true" outlineLevel="0" collapsed="false">
      <c r="A85" s="18" t="n">
        <v>79</v>
      </c>
      <c r="B85" s="19" t="s">
        <v>328</v>
      </c>
      <c r="C85" s="19" t="s">
        <v>269</v>
      </c>
      <c r="D85" s="19" t="s">
        <v>316</v>
      </c>
      <c r="E85" s="20" t="s">
        <v>329</v>
      </c>
      <c r="F85" s="18" t="n">
        <v>3</v>
      </c>
      <c r="G85" s="21" t="n">
        <f aca="false">WORKDAY($B$3,63)</f>
        <v>45988</v>
      </c>
      <c r="H85" s="21" t="n">
        <f aca="false">WORKDAY(G85,2)</f>
        <v>45992</v>
      </c>
      <c r="I85" s="18" t="s">
        <v>330</v>
      </c>
      <c r="J85" s="19" t="s">
        <v>52</v>
      </c>
      <c r="K85" s="19" t="s">
        <v>53</v>
      </c>
      <c r="L85" s="19" t="s">
        <v>326</v>
      </c>
      <c r="M85" s="19"/>
      <c r="N85" s="18" t="s">
        <v>27</v>
      </c>
      <c r="O85" s="22" t="n">
        <v>0</v>
      </c>
      <c r="P85" s="20" t="s">
        <v>331</v>
      </c>
    </row>
    <row r="86" customFormat="false" ht="15" hidden="false" customHeight="true" outlineLevel="0" collapsed="false">
      <c r="A86" s="13" t="n">
        <v>80</v>
      </c>
      <c r="B86" s="14" t="s">
        <v>332</v>
      </c>
      <c r="C86" s="14" t="s">
        <v>269</v>
      </c>
      <c r="D86" s="14" t="s">
        <v>316</v>
      </c>
      <c r="E86" s="15" t="s">
        <v>333</v>
      </c>
      <c r="F86" s="13" t="n">
        <v>4</v>
      </c>
      <c r="G86" s="16" t="n">
        <f aca="false">WORKDAY($B$3,60)</f>
        <v>45985</v>
      </c>
      <c r="H86" s="16" t="n">
        <f aca="false">WORKDAY(G86,3)</f>
        <v>45988</v>
      </c>
      <c r="I86" s="13" t="s">
        <v>334</v>
      </c>
      <c r="J86" s="14" t="s">
        <v>93</v>
      </c>
      <c r="K86" s="14"/>
      <c r="L86" s="14" t="s">
        <v>117</v>
      </c>
      <c r="M86" s="14"/>
      <c r="N86" s="13" t="s">
        <v>27</v>
      </c>
      <c r="O86" s="17" t="n">
        <v>0</v>
      </c>
      <c r="P86" s="15" t="s">
        <v>335</v>
      </c>
    </row>
    <row r="87" customFormat="false" ht="15" hidden="false" customHeight="true" outlineLevel="0" collapsed="false">
      <c r="A87" s="18" t="n">
        <v>81</v>
      </c>
      <c r="B87" s="19" t="s">
        <v>336</v>
      </c>
      <c r="C87" s="19" t="s">
        <v>269</v>
      </c>
      <c r="D87" s="19" t="s">
        <v>316</v>
      </c>
      <c r="E87" s="20" t="s">
        <v>337</v>
      </c>
      <c r="F87" s="18" t="n">
        <v>4</v>
      </c>
      <c r="G87" s="21" t="n">
        <f aca="false">WORKDAY($B$3,60)</f>
        <v>45985</v>
      </c>
      <c r="H87" s="21" t="n">
        <f aca="false">WORKDAY(G87,3)</f>
        <v>45988</v>
      </c>
      <c r="I87" s="18" t="s">
        <v>338</v>
      </c>
      <c r="J87" s="19" t="s">
        <v>52</v>
      </c>
      <c r="K87" s="19" t="s">
        <v>53</v>
      </c>
      <c r="L87" s="19" t="s">
        <v>43</v>
      </c>
      <c r="M87" s="19"/>
      <c r="N87" s="18" t="s">
        <v>27</v>
      </c>
      <c r="O87" s="22" t="n">
        <v>0</v>
      </c>
      <c r="P87" s="20" t="s">
        <v>339</v>
      </c>
    </row>
    <row r="88" customFormat="false" ht="15" hidden="false" customHeight="true" outlineLevel="0" collapsed="false">
      <c r="A88" s="13" t="n">
        <v>82</v>
      </c>
      <c r="B88" s="14" t="s">
        <v>340</v>
      </c>
      <c r="C88" s="14" t="s">
        <v>269</v>
      </c>
      <c r="D88" s="14" t="s">
        <v>316</v>
      </c>
      <c r="E88" s="15" t="s">
        <v>341</v>
      </c>
      <c r="F88" s="13" t="n">
        <v>3</v>
      </c>
      <c r="G88" s="16" t="n">
        <f aca="false">WORKDAY($B$3,64)</f>
        <v>45989</v>
      </c>
      <c r="H88" s="16" t="n">
        <f aca="false">WORKDAY(G88,2)</f>
        <v>45993</v>
      </c>
      <c r="I88" s="13" t="s">
        <v>342</v>
      </c>
      <c r="J88" s="14" t="s">
        <v>48</v>
      </c>
      <c r="K88" s="14"/>
      <c r="L88" s="14" t="s">
        <v>43</v>
      </c>
      <c r="M88" s="14"/>
      <c r="N88" s="13" t="s">
        <v>27</v>
      </c>
      <c r="O88" s="17" t="n">
        <v>0</v>
      </c>
      <c r="P88" s="15" t="s">
        <v>343</v>
      </c>
    </row>
    <row r="89" customFormat="false" ht="15" hidden="false" customHeight="true" outlineLevel="0" collapsed="false">
      <c r="A89" s="18" t="n">
        <v>83</v>
      </c>
      <c r="B89" s="19" t="s">
        <v>344</v>
      </c>
      <c r="C89" s="19" t="s">
        <v>269</v>
      </c>
      <c r="D89" s="19" t="s">
        <v>316</v>
      </c>
      <c r="E89" s="20" t="s">
        <v>345</v>
      </c>
      <c r="F89" s="18" t="n">
        <v>1</v>
      </c>
      <c r="G89" s="21" t="n">
        <f aca="false">WORKDAY($B$3,68)</f>
        <v>45995</v>
      </c>
      <c r="H89" s="21" t="n">
        <f aca="false">WORKDAY(G89,0)</f>
        <v>45995</v>
      </c>
      <c r="I89" s="18" t="s">
        <v>346</v>
      </c>
      <c r="J89" s="19" t="s">
        <v>48</v>
      </c>
      <c r="K89" s="19" t="s">
        <v>24</v>
      </c>
      <c r="L89" s="19" t="s">
        <v>26</v>
      </c>
      <c r="M89" s="19" t="s">
        <v>326</v>
      </c>
      <c r="N89" s="18" t="s">
        <v>27</v>
      </c>
      <c r="O89" s="22" t="n">
        <v>0</v>
      </c>
      <c r="P89" s="20" t="s">
        <v>347</v>
      </c>
    </row>
    <row r="90" customFormat="false" ht="15" hidden="false" customHeight="true" outlineLevel="0" collapsed="false">
      <c r="A90" s="13" t="n">
        <v>84</v>
      </c>
      <c r="B90" s="14" t="s">
        <v>348</v>
      </c>
      <c r="C90" s="14" t="s">
        <v>269</v>
      </c>
      <c r="D90" s="14" t="s">
        <v>316</v>
      </c>
      <c r="E90" s="15" t="s">
        <v>349</v>
      </c>
      <c r="F90" s="13" t="n">
        <v>1</v>
      </c>
      <c r="G90" s="16" t="n">
        <f aca="false">WORKDAY($B$3,69)</f>
        <v>45996</v>
      </c>
      <c r="H90" s="16" t="n">
        <f aca="false">WORKDAY(G90,0)</f>
        <v>45996</v>
      </c>
      <c r="I90" s="13" t="s">
        <v>350</v>
      </c>
      <c r="J90" s="14" t="s">
        <v>24</v>
      </c>
      <c r="K90" s="14" t="s">
        <v>25</v>
      </c>
      <c r="L90" s="14" t="s">
        <v>36</v>
      </c>
      <c r="M90" s="14"/>
      <c r="N90" s="13" t="s">
        <v>27</v>
      </c>
      <c r="O90" s="17" t="n">
        <v>0</v>
      </c>
      <c r="P90" s="15"/>
    </row>
    <row r="91" customFormat="false" ht="15" hidden="false" customHeight="true" outlineLevel="0" collapsed="false">
      <c r="A91" s="23" t="n">
        <v>85</v>
      </c>
      <c r="B91" s="24" t="s">
        <v>351</v>
      </c>
      <c r="C91" s="24" t="s">
        <v>269</v>
      </c>
      <c r="D91" s="24" t="s">
        <v>316</v>
      </c>
      <c r="E91" s="25" t="s">
        <v>352</v>
      </c>
      <c r="F91" s="23" t="s">
        <v>82</v>
      </c>
      <c r="G91" s="26" t="n">
        <f aca="false">WORKDAY($B$3,69)</f>
        <v>45996</v>
      </c>
      <c r="H91" s="26" t="n">
        <f aca="false">G91</f>
        <v>45996</v>
      </c>
      <c r="I91" s="23" t="s">
        <v>353</v>
      </c>
      <c r="J91" s="24"/>
      <c r="K91" s="24"/>
      <c r="L91" s="24"/>
      <c r="M91" s="24"/>
      <c r="N91" s="23" t="s">
        <v>27</v>
      </c>
      <c r="O91" s="27" t="n">
        <v>0</v>
      </c>
      <c r="P91" s="25"/>
    </row>
    <row r="92" customFormat="false" ht="18" hidden="false" customHeight="true" outlineLevel="0" collapsed="false">
      <c r="A92" s="8" t="n">
        <v>86</v>
      </c>
      <c r="B92" s="9" t="s">
        <v>61</v>
      </c>
      <c r="C92" s="9" t="s">
        <v>354</v>
      </c>
      <c r="D92" s="9" t="s">
        <v>354</v>
      </c>
      <c r="E92" s="10" t="s">
        <v>355</v>
      </c>
      <c r="F92" s="8" t="n">
        <v>10</v>
      </c>
      <c r="G92" s="11" t="n">
        <f aca="false">WORKDAY($B$3,70)</f>
        <v>45999</v>
      </c>
      <c r="H92" s="11" t="n">
        <f aca="false">WORKDAY(G92,9)</f>
        <v>46010</v>
      </c>
      <c r="I92" s="8"/>
      <c r="J92" s="9" t="s">
        <v>356</v>
      </c>
      <c r="K92" s="9" t="s">
        <v>48</v>
      </c>
      <c r="L92" s="9" t="s">
        <v>36</v>
      </c>
      <c r="M92" s="9" t="s">
        <v>357</v>
      </c>
      <c r="N92" s="8" t="s">
        <v>27</v>
      </c>
      <c r="O92" s="12" t="n">
        <v>0</v>
      </c>
      <c r="P92" s="10" t="s">
        <v>358</v>
      </c>
    </row>
    <row r="93" customFormat="false" ht="15" hidden="false" customHeight="true" outlineLevel="0" collapsed="false">
      <c r="A93" s="18" t="n">
        <v>87</v>
      </c>
      <c r="B93" s="19" t="s">
        <v>359</v>
      </c>
      <c r="C93" s="19" t="s">
        <v>354</v>
      </c>
      <c r="D93" s="19" t="s">
        <v>354</v>
      </c>
      <c r="E93" s="20" t="s">
        <v>360</v>
      </c>
      <c r="F93" s="18" t="n">
        <v>1</v>
      </c>
      <c r="G93" s="21" t="n">
        <f aca="false">WORKDAY($B$3,70)</f>
        <v>45999</v>
      </c>
      <c r="H93" s="21" t="n">
        <f aca="false">WORKDAY(G93,0)</f>
        <v>45999</v>
      </c>
      <c r="I93" s="18" t="s">
        <v>361</v>
      </c>
      <c r="J93" s="19" t="s">
        <v>42</v>
      </c>
      <c r="K93" s="19"/>
      <c r="L93" s="19" t="s">
        <v>36</v>
      </c>
      <c r="M93" s="19"/>
      <c r="N93" s="18" t="s">
        <v>27</v>
      </c>
      <c r="O93" s="22" t="n">
        <v>0</v>
      </c>
      <c r="P93" s="20" t="s">
        <v>362</v>
      </c>
    </row>
    <row r="94" customFormat="false" ht="15" hidden="false" customHeight="true" outlineLevel="0" collapsed="false">
      <c r="A94" s="13" t="n">
        <v>88</v>
      </c>
      <c r="B94" s="14" t="s">
        <v>363</v>
      </c>
      <c r="C94" s="14" t="s">
        <v>354</v>
      </c>
      <c r="D94" s="14" t="s">
        <v>354</v>
      </c>
      <c r="E94" s="15" t="s">
        <v>364</v>
      </c>
      <c r="F94" s="13" t="n">
        <v>1</v>
      </c>
      <c r="G94" s="16" t="n">
        <f aca="false">WORKDAY($B$3,70)</f>
        <v>45999</v>
      </c>
      <c r="H94" s="16" t="n">
        <f aca="false">WORKDAY(G94,0)</f>
        <v>45999</v>
      </c>
      <c r="I94" s="13" t="s">
        <v>361</v>
      </c>
      <c r="J94" s="14" t="s">
        <v>57</v>
      </c>
      <c r="K94" s="14"/>
      <c r="L94" s="14" t="s">
        <v>36</v>
      </c>
      <c r="M94" s="14" t="s">
        <v>365</v>
      </c>
      <c r="N94" s="13" t="s">
        <v>27</v>
      </c>
      <c r="O94" s="17" t="n">
        <v>0</v>
      </c>
      <c r="P94" s="15" t="s">
        <v>366</v>
      </c>
    </row>
    <row r="95" customFormat="false" ht="15" hidden="false" customHeight="true" outlineLevel="0" collapsed="false">
      <c r="A95" s="18" t="n">
        <v>89</v>
      </c>
      <c r="B95" s="19" t="s">
        <v>367</v>
      </c>
      <c r="C95" s="19" t="s">
        <v>354</v>
      </c>
      <c r="D95" s="19" t="s">
        <v>354</v>
      </c>
      <c r="E95" s="20" t="s">
        <v>368</v>
      </c>
      <c r="F95" s="18" t="n">
        <v>3</v>
      </c>
      <c r="G95" s="21" t="n">
        <f aca="false">WORKDAY($B$3,71)</f>
        <v>46000</v>
      </c>
      <c r="H95" s="21" t="n">
        <f aca="false">WORKDAY(G95,2)</f>
        <v>46002</v>
      </c>
      <c r="I95" s="18" t="s">
        <v>369</v>
      </c>
      <c r="J95" s="19" t="s">
        <v>42</v>
      </c>
      <c r="K95" s="19" t="s">
        <v>52</v>
      </c>
      <c r="L95" s="19" t="s">
        <v>71</v>
      </c>
      <c r="M95" s="19" t="s">
        <v>370</v>
      </c>
      <c r="N95" s="18" t="s">
        <v>27</v>
      </c>
      <c r="O95" s="22" t="n">
        <v>0</v>
      </c>
      <c r="P95" s="20" t="s">
        <v>371</v>
      </c>
    </row>
    <row r="96" customFormat="false" ht="15" hidden="false" customHeight="true" outlineLevel="0" collapsed="false">
      <c r="A96" s="13" t="n">
        <v>90</v>
      </c>
      <c r="B96" s="14" t="s">
        <v>372</v>
      </c>
      <c r="C96" s="14" t="s">
        <v>354</v>
      </c>
      <c r="D96" s="14" t="s">
        <v>354</v>
      </c>
      <c r="E96" s="15" t="s">
        <v>373</v>
      </c>
      <c r="F96" s="13" t="n">
        <v>3</v>
      </c>
      <c r="G96" s="16" t="n">
        <f aca="false">WORKDAY($B$3,71)</f>
        <v>46000</v>
      </c>
      <c r="H96" s="16" t="n">
        <f aca="false">WORKDAY(G96,2)</f>
        <v>46002</v>
      </c>
      <c r="I96" s="13" t="s">
        <v>369</v>
      </c>
      <c r="J96" s="14" t="s">
        <v>42</v>
      </c>
      <c r="K96" s="14" t="s">
        <v>52</v>
      </c>
      <c r="L96" s="14" t="s">
        <v>374</v>
      </c>
      <c r="M96" s="14" t="s">
        <v>370</v>
      </c>
      <c r="N96" s="13" t="s">
        <v>27</v>
      </c>
      <c r="O96" s="17" t="n">
        <v>0</v>
      </c>
      <c r="P96" s="15"/>
    </row>
    <row r="97" customFormat="false" ht="15" hidden="false" customHeight="true" outlineLevel="0" collapsed="false">
      <c r="A97" s="18" t="n">
        <v>91</v>
      </c>
      <c r="B97" s="19" t="s">
        <v>375</v>
      </c>
      <c r="C97" s="19" t="s">
        <v>354</v>
      </c>
      <c r="D97" s="19" t="s">
        <v>354</v>
      </c>
      <c r="E97" s="20" t="s">
        <v>376</v>
      </c>
      <c r="F97" s="18" t="n">
        <v>3</v>
      </c>
      <c r="G97" s="21" t="n">
        <f aca="false">WORKDAY($B$3,71)</f>
        <v>46000</v>
      </c>
      <c r="H97" s="21" t="n">
        <f aca="false">WORKDAY(G97,2)</f>
        <v>46002</v>
      </c>
      <c r="I97" s="18" t="s">
        <v>369</v>
      </c>
      <c r="J97" s="19" t="s">
        <v>42</v>
      </c>
      <c r="K97" s="19" t="s">
        <v>52</v>
      </c>
      <c r="L97" s="19" t="s">
        <v>307</v>
      </c>
      <c r="M97" s="19" t="s">
        <v>370</v>
      </c>
      <c r="N97" s="18" t="s">
        <v>27</v>
      </c>
      <c r="O97" s="22" t="n">
        <v>0</v>
      </c>
      <c r="P97" s="20"/>
    </row>
    <row r="98" customFormat="false" ht="15" hidden="false" customHeight="true" outlineLevel="0" collapsed="false">
      <c r="A98" s="13" t="n">
        <v>92</v>
      </c>
      <c r="B98" s="14" t="s">
        <v>377</v>
      </c>
      <c r="C98" s="14" t="s">
        <v>354</v>
      </c>
      <c r="D98" s="14" t="s">
        <v>354</v>
      </c>
      <c r="E98" s="15" t="s">
        <v>378</v>
      </c>
      <c r="F98" s="13" t="n">
        <v>2</v>
      </c>
      <c r="G98" s="16" t="n">
        <f aca="false">WORKDAY($B$3,72)</f>
        <v>46001</v>
      </c>
      <c r="H98" s="16" t="n">
        <f aca="false">WORKDAY(G98,1)</f>
        <v>46002</v>
      </c>
      <c r="I98" s="13" t="s">
        <v>369</v>
      </c>
      <c r="J98" s="14" t="s">
        <v>53</v>
      </c>
      <c r="K98" s="14" t="s">
        <v>52</v>
      </c>
      <c r="L98" s="14" t="s">
        <v>326</v>
      </c>
      <c r="M98" s="14"/>
      <c r="N98" s="13" t="s">
        <v>27</v>
      </c>
      <c r="O98" s="17" t="n">
        <v>0</v>
      </c>
      <c r="P98" s="15"/>
    </row>
    <row r="99" customFormat="false" ht="15" hidden="false" customHeight="true" outlineLevel="0" collapsed="false">
      <c r="A99" s="18" t="n">
        <v>93</v>
      </c>
      <c r="B99" s="19" t="s">
        <v>379</v>
      </c>
      <c r="C99" s="19" t="s">
        <v>354</v>
      </c>
      <c r="D99" s="19" t="s">
        <v>354</v>
      </c>
      <c r="E99" s="20" t="s">
        <v>380</v>
      </c>
      <c r="F99" s="18" t="n">
        <v>3</v>
      </c>
      <c r="G99" s="21" t="n">
        <f aca="false">WORKDAY($B$3,74)</f>
        <v>46003</v>
      </c>
      <c r="H99" s="21" t="n">
        <f aca="false">WORKDAY(G99,2)</f>
        <v>46007</v>
      </c>
      <c r="I99" s="18" t="s">
        <v>381</v>
      </c>
      <c r="J99" s="19" t="s">
        <v>93</v>
      </c>
      <c r="K99" s="19" t="s">
        <v>53</v>
      </c>
      <c r="L99" s="19" t="s">
        <v>36</v>
      </c>
      <c r="M99" s="19" t="s">
        <v>71</v>
      </c>
      <c r="N99" s="18" t="s">
        <v>27</v>
      </c>
      <c r="O99" s="22" t="n">
        <v>0</v>
      </c>
      <c r="P99" s="20" t="s">
        <v>382</v>
      </c>
    </row>
    <row r="100" customFormat="false" ht="15" hidden="false" customHeight="true" outlineLevel="0" collapsed="false">
      <c r="A100" s="13" t="n">
        <v>94</v>
      </c>
      <c r="B100" s="14" t="s">
        <v>383</v>
      </c>
      <c r="C100" s="14" t="s">
        <v>354</v>
      </c>
      <c r="D100" s="14" t="s">
        <v>354</v>
      </c>
      <c r="E100" s="15" t="s">
        <v>384</v>
      </c>
      <c r="F100" s="13" t="n">
        <v>1</v>
      </c>
      <c r="G100" s="16" t="n">
        <f aca="false">WORKDAY($B$3,79)</f>
        <v>46010</v>
      </c>
      <c r="H100" s="16" t="n">
        <f aca="false">WORKDAY(G100,0)</f>
        <v>46010</v>
      </c>
      <c r="I100" s="13" t="s">
        <v>385</v>
      </c>
      <c r="J100" s="14" t="s">
        <v>24</v>
      </c>
      <c r="K100" s="14"/>
      <c r="L100" s="14" t="s">
        <v>26</v>
      </c>
      <c r="M100" s="14"/>
      <c r="N100" s="13" t="s">
        <v>27</v>
      </c>
      <c r="O100" s="17" t="n">
        <v>0</v>
      </c>
      <c r="P100" s="15" t="s">
        <v>386</v>
      </c>
    </row>
    <row r="101" customFormat="false" ht="15" hidden="false" customHeight="true" outlineLevel="0" collapsed="false">
      <c r="A101" s="23" t="n">
        <v>95</v>
      </c>
      <c r="B101" s="24" t="s">
        <v>387</v>
      </c>
      <c r="C101" s="24" t="s">
        <v>354</v>
      </c>
      <c r="D101" s="24" t="s">
        <v>354</v>
      </c>
      <c r="E101" s="25" t="s">
        <v>388</v>
      </c>
      <c r="F101" s="23" t="s">
        <v>82</v>
      </c>
      <c r="G101" s="26" t="n">
        <f aca="false">WORKDAY($B$3,79)</f>
        <v>46010</v>
      </c>
      <c r="H101" s="26" t="n">
        <f aca="false">G101</f>
        <v>46010</v>
      </c>
      <c r="I101" s="23" t="s">
        <v>389</v>
      </c>
      <c r="J101" s="24"/>
      <c r="K101" s="24"/>
      <c r="L101" s="24"/>
      <c r="M101" s="24"/>
      <c r="N101" s="23" t="s">
        <v>27</v>
      </c>
      <c r="O101" s="27" t="n">
        <v>0</v>
      </c>
      <c r="P101" s="25"/>
    </row>
    <row r="102" customFormat="false" ht="18" hidden="false" customHeight="true" outlineLevel="0" collapsed="false">
      <c r="A102" s="8" t="n">
        <v>96</v>
      </c>
      <c r="B102" s="9" t="s">
        <v>390</v>
      </c>
      <c r="C102" s="9" t="s">
        <v>391</v>
      </c>
      <c r="D102" s="9" t="s">
        <v>391</v>
      </c>
      <c r="E102" s="10" t="s">
        <v>392</v>
      </c>
      <c r="F102" s="8" t="n">
        <v>3</v>
      </c>
      <c r="G102" s="11" t="n">
        <f aca="false">WORKDAY($B$3,80)</f>
        <v>46013</v>
      </c>
      <c r="H102" s="11" t="n">
        <f aca="false">WORKDAY(G102,2)</f>
        <v>46015</v>
      </c>
      <c r="I102" s="8"/>
      <c r="J102" s="9" t="s">
        <v>41</v>
      </c>
      <c r="K102" s="9" t="s">
        <v>393</v>
      </c>
      <c r="L102" s="9" t="s">
        <v>26</v>
      </c>
      <c r="M102" s="9" t="s">
        <v>43</v>
      </c>
      <c r="N102" s="8" t="s">
        <v>27</v>
      </c>
      <c r="O102" s="12" t="n">
        <v>0</v>
      </c>
      <c r="P102" s="10" t="s">
        <v>394</v>
      </c>
    </row>
    <row r="103" customFormat="false" ht="15" hidden="false" customHeight="true" outlineLevel="0" collapsed="false">
      <c r="A103" s="18" t="n">
        <v>97</v>
      </c>
      <c r="B103" s="19" t="s">
        <v>395</v>
      </c>
      <c r="C103" s="19" t="s">
        <v>391</v>
      </c>
      <c r="D103" s="19" t="s">
        <v>391</v>
      </c>
      <c r="E103" s="20" t="s">
        <v>396</v>
      </c>
      <c r="F103" s="18" t="n">
        <v>1</v>
      </c>
      <c r="G103" s="21" t="n">
        <f aca="false">WORKDAY($B$3,80)</f>
        <v>46013</v>
      </c>
      <c r="H103" s="21" t="n">
        <f aca="false">WORKDAY(G103,0)</f>
        <v>46013</v>
      </c>
      <c r="I103" s="18" t="s">
        <v>397</v>
      </c>
      <c r="J103" s="19" t="s">
        <v>41</v>
      </c>
      <c r="K103" s="19" t="s">
        <v>42</v>
      </c>
      <c r="L103" s="19" t="s">
        <v>26</v>
      </c>
      <c r="M103" s="19" t="s">
        <v>43</v>
      </c>
      <c r="N103" s="18" t="s">
        <v>27</v>
      </c>
      <c r="O103" s="22" t="n">
        <v>0</v>
      </c>
      <c r="P103" s="20" t="s">
        <v>398</v>
      </c>
    </row>
    <row r="104" customFormat="false" ht="15" hidden="false" customHeight="true" outlineLevel="0" collapsed="false">
      <c r="A104" s="13" t="n">
        <v>98</v>
      </c>
      <c r="B104" s="14" t="s">
        <v>399</v>
      </c>
      <c r="C104" s="14" t="s">
        <v>391</v>
      </c>
      <c r="D104" s="14" t="s">
        <v>391</v>
      </c>
      <c r="E104" s="15" t="s">
        <v>400</v>
      </c>
      <c r="F104" s="13" t="n">
        <v>1</v>
      </c>
      <c r="G104" s="16" t="n">
        <f aca="false">WORKDAY($B$3,81)</f>
        <v>46014</v>
      </c>
      <c r="H104" s="16" t="n">
        <f aca="false">WORKDAY(G104,0)</f>
        <v>46014</v>
      </c>
      <c r="I104" s="13" t="s">
        <v>401</v>
      </c>
      <c r="J104" s="14" t="s">
        <v>48</v>
      </c>
      <c r="K104" s="14" t="s">
        <v>24</v>
      </c>
      <c r="L104" s="14" t="s">
        <v>43</v>
      </c>
      <c r="M104" s="14" t="s">
        <v>35</v>
      </c>
      <c r="N104" s="13" t="s">
        <v>27</v>
      </c>
      <c r="O104" s="17" t="n">
        <v>0</v>
      </c>
      <c r="P104" s="15" t="s">
        <v>402</v>
      </c>
    </row>
    <row r="105" customFormat="false" ht="15" hidden="false" customHeight="true" outlineLevel="0" collapsed="false">
      <c r="A105" s="23" t="n">
        <v>99</v>
      </c>
      <c r="B105" s="24" t="s">
        <v>403</v>
      </c>
      <c r="C105" s="24" t="s">
        <v>391</v>
      </c>
      <c r="D105" s="24" t="s">
        <v>391</v>
      </c>
      <c r="E105" s="25" t="s">
        <v>404</v>
      </c>
      <c r="F105" s="23" t="s">
        <v>82</v>
      </c>
      <c r="G105" s="26" t="n">
        <f aca="false">WORKDAY($B$3,81)</f>
        <v>46014</v>
      </c>
      <c r="H105" s="26" t="n">
        <f aca="false">G105</f>
        <v>46014</v>
      </c>
      <c r="I105" s="23" t="s">
        <v>405</v>
      </c>
      <c r="J105" s="24"/>
      <c r="K105" s="24"/>
      <c r="L105" s="24"/>
      <c r="M105" s="24"/>
      <c r="N105" s="23" t="s">
        <v>27</v>
      </c>
      <c r="O105" s="27" t="n">
        <v>0</v>
      </c>
      <c r="P105" s="25"/>
    </row>
    <row r="106" customFormat="false" ht="18" hidden="false" customHeight="true" outlineLevel="0" collapsed="false">
      <c r="A106" s="8" t="n">
        <v>100</v>
      </c>
      <c r="B106" s="9" t="s">
        <v>406</v>
      </c>
      <c r="C106" s="9" t="s">
        <v>407</v>
      </c>
      <c r="D106" s="9" t="s">
        <v>407</v>
      </c>
      <c r="E106" s="10" t="s">
        <v>408</v>
      </c>
      <c r="F106" s="8" t="n">
        <v>8</v>
      </c>
      <c r="G106" s="11" t="n">
        <f aca="false">WORKDAY($B$3,82)</f>
        <v>46015</v>
      </c>
      <c r="H106" s="11" t="n">
        <f aca="false">WORKDAY(G106,7)</f>
        <v>46024</v>
      </c>
      <c r="I106" s="8"/>
      <c r="J106" s="9" t="s">
        <v>57</v>
      </c>
      <c r="K106" s="9" t="s">
        <v>48</v>
      </c>
      <c r="L106" s="9" t="s">
        <v>36</v>
      </c>
      <c r="M106" s="9" t="s">
        <v>409</v>
      </c>
      <c r="N106" s="8" t="s">
        <v>27</v>
      </c>
      <c r="O106" s="12" t="n">
        <v>0</v>
      </c>
      <c r="P106" s="10" t="s">
        <v>410</v>
      </c>
    </row>
    <row r="107" customFormat="false" ht="15" hidden="false" customHeight="true" outlineLevel="0" collapsed="false">
      <c r="A107" s="18" t="n">
        <v>101</v>
      </c>
      <c r="B107" s="19" t="s">
        <v>411</v>
      </c>
      <c r="C107" s="19" t="s">
        <v>407</v>
      </c>
      <c r="D107" s="19" t="s">
        <v>407</v>
      </c>
      <c r="E107" s="20" t="s">
        <v>412</v>
      </c>
      <c r="F107" s="18" t="n">
        <v>6</v>
      </c>
      <c r="G107" s="21" t="n">
        <f aca="false">WORKDAY($B$3,82)</f>
        <v>46015</v>
      </c>
      <c r="H107" s="21" t="n">
        <f aca="false">WORKDAY(G107,5)</f>
        <v>46022</v>
      </c>
      <c r="I107" s="18" t="s">
        <v>413</v>
      </c>
      <c r="J107" s="19" t="s">
        <v>57</v>
      </c>
      <c r="K107" s="19" t="s">
        <v>52</v>
      </c>
      <c r="L107" s="19" t="s">
        <v>36</v>
      </c>
      <c r="M107" s="19"/>
      <c r="N107" s="18" t="s">
        <v>27</v>
      </c>
      <c r="O107" s="22" t="n">
        <v>0</v>
      </c>
      <c r="P107" s="20" t="s">
        <v>414</v>
      </c>
    </row>
    <row r="108" customFormat="false" ht="15" hidden="false" customHeight="true" outlineLevel="0" collapsed="false">
      <c r="A108" s="13" t="n">
        <v>102</v>
      </c>
      <c r="B108" s="14" t="s">
        <v>415</v>
      </c>
      <c r="C108" s="14" t="s">
        <v>407</v>
      </c>
      <c r="D108" s="14" t="s">
        <v>407</v>
      </c>
      <c r="E108" s="15" t="s">
        <v>416</v>
      </c>
      <c r="F108" s="13" t="n">
        <v>4</v>
      </c>
      <c r="G108" s="16" t="n">
        <f aca="false">WORKDAY($B$3,82)</f>
        <v>46015</v>
      </c>
      <c r="H108" s="16" t="n">
        <f aca="false">WORKDAY(G108,3)</f>
        <v>46020</v>
      </c>
      <c r="I108" s="13" t="s">
        <v>413</v>
      </c>
      <c r="J108" s="14" t="s">
        <v>417</v>
      </c>
      <c r="K108" s="14"/>
      <c r="L108" s="14" t="s">
        <v>365</v>
      </c>
      <c r="M108" s="14" t="s">
        <v>43</v>
      </c>
      <c r="N108" s="13" t="s">
        <v>27</v>
      </c>
      <c r="O108" s="17" t="n">
        <v>0</v>
      </c>
      <c r="P108" s="15" t="s">
        <v>418</v>
      </c>
    </row>
    <row r="109" customFormat="false" ht="15" hidden="false" customHeight="true" outlineLevel="0" collapsed="false">
      <c r="A109" s="18" t="n">
        <v>103</v>
      </c>
      <c r="B109" s="19" t="s">
        <v>419</v>
      </c>
      <c r="C109" s="19" t="s">
        <v>407</v>
      </c>
      <c r="D109" s="19" t="s">
        <v>407</v>
      </c>
      <c r="E109" s="20" t="s">
        <v>420</v>
      </c>
      <c r="F109" s="18" t="n">
        <v>4</v>
      </c>
      <c r="G109" s="21" t="n">
        <f aca="false">WORKDAY($B$3,83)</f>
        <v>46016</v>
      </c>
      <c r="H109" s="21" t="n">
        <f aca="false">WORKDAY(G109,3)</f>
        <v>46021</v>
      </c>
      <c r="I109" s="18" t="s">
        <v>413</v>
      </c>
      <c r="J109" s="19" t="s">
        <v>42</v>
      </c>
      <c r="K109" s="19" t="s">
        <v>53</v>
      </c>
      <c r="L109" s="19" t="s">
        <v>36</v>
      </c>
      <c r="M109" s="19" t="s">
        <v>43</v>
      </c>
      <c r="N109" s="18" t="s">
        <v>27</v>
      </c>
      <c r="O109" s="22" t="n">
        <v>0</v>
      </c>
      <c r="P109" s="20" t="s">
        <v>421</v>
      </c>
    </row>
    <row r="110" customFormat="false" ht="15" hidden="false" customHeight="true" outlineLevel="0" collapsed="false">
      <c r="A110" s="13" t="n">
        <v>104</v>
      </c>
      <c r="B110" s="14" t="s">
        <v>422</v>
      </c>
      <c r="C110" s="14" t="s">
        <v>407</v>
      </c>
      <c r="D110" s="14" t="s">
        <v>407</v>
      </c>
      <c r="E110" s="15" t="s">
        <v>423</v>
      </c>
      <c r="F110" s="13" t="n">
        <v>1</v>
      </c>
      <c r="G110" s="16" t="n">
        <f aca="false">WORKDAY($B$3,87)</f>
        <v>46022</v>
      </c>
      <c r="H110" s="16" t="n">
        <f aca="false">WORKDAY(G110,0)</f>
        <v>46022</v>
      </c>
      <c r="I110" s="13" t="s">
        <v>424</v>
      </c>
      <c r="J110" s="14" t="s">
        <v>24</v>
      </c>
      <c r="K110" s="14"/>
      <c r="L110" s="14" t="s">
        <v>26</v>
      </c>
      <c r="M110" s="14"/>
      <c r="N110" s="13" t="s">
        <v>27</v>
      </c>
      <c r="O110" s="17" t="n">
        <v>0</v>
      </c>
      <c r="P110" s="15" t="s">
        <v>425</v>
      </c>
    </row>
    <row r="111" customFormat="false" ht="15" hidden="false" customHeight="true" outlineLevel="0" collapsed="false">
      <c r="A111" s="18" t="n">
        <v>105</v>
      </c>
      <c r="B111" s="19" t="s">
        <v>426</v>
      </c>
      <c r="C111" s="19" t="s">
        <v>407</v>
      </c>
      <c r="D111" s="19" t="s">
        <v>407</v>
      </c>
      <c r="E111" s="20" t="s">
        <v>427</v>
      </c>
      <c r="F111" s="18" t="n">
        <v>1</v>
      </c>
      <c r="G111" s="21" t="n">
        <f aca="false">WORKDAY($B$3,88)</f>
        <v>46023</v>
      </c>
      <c r="H111" s="21" t="n">
        <f aca="false">WORKDAY(G111,0)</f>
        <v>46023</v>
      </c>
      <c r="I111" s="18" t="s">
        <v>428</v>
      </c>
      <c r="J111" s="19" t="s">
        <v>24</v>
      </c>
      <c r="K111" s="19" t="s">
        <v>31</v>
      </c>
      <c r="L111" s="19" t="s">
        <v>35</v>
      </c>
      <c r="M111" s="19" t="s">
        <v>36</v>
      </c>
      <c r="N111" s="18" t="s">
        <v>27</v>
      </c>
      <c r="O111" s="22" t="n">
        <v>0</v>
      </c>
      <c r="P111" s="20" t="s">
        <v>429</v>
      </c>
    </row>
    <row r="112" customFormat="false" ht="15" hidden="false" customHeight="true" outlineLevel="0" collapsed="false">
      <c r="A112" s="13" t="n">
        <v>106</v>
      </c>
      <c r="B112" s="14" t="s">
        <v>430</v>
      </c>
      <c r="C112" s="14" t="s">
        <v>407</v>
      </c>
      <c r="D112" s="14" t="s">
        <v>407</v>
      </c>
      <c r="E112" s="15" t="s">
        <v>431</v>
      </c>
      <c r="F112" s="13" t="n">
        <v>1</v>
      </c>
      <c r="G112" s="16" t="n">
        <f aca="false">WORKDAY($B$3,88)</f>
        <v>46023</v>
      </c>
      <c r="H112" s="16" t="n">
        <f aca="false">WORKDAY(G112,0)</f>
        <v>46023</v>
      </c>
      <c r="I112" s="13" t="s">
        <v>432</v>
      </c>
      <c r="J112" s="14" t="s">
        <v>417</v>
      </c>
      <c r="K112" s="14"/>
      <c r="L112" s="14" t="s">
        <v>26</v>
      </c>
      <c r="M112" s="14"/>
      <c r="N112" s="13" t="s">
        <v>27</v>
      </c>
      <c r="O112" s="17" t="n">
        <v>0</v>
      </c>
      <c r="P112" s="15" t="s">
        <v>433</v>
      </c>
    </row>
    <row r="113" customFormat="false" ht="15" hidden="false" customHeight="true" outlineLevel="0" collapsed="false">
      <c r="A113" s="23" t="n">
        <v>107</v>
      </c>
      <c r="B113" s="24" t="s">
        <v>434</v>
      </c>
      <c r="C113" s="24" t="s">
        <v>407</v>
      </c>
      <c r="D113" s="24" t="s">
        <v>407</v>
      </c>
      <c r="E113" s="25" t="s">
        <v>435</v>
      </c>
      <c r="F113" s="23" t="s">
        <v>82</v>
      </c>
      <c r="G113" s="26" t="n">
        <f aca="false">WORKDAY($B$3,89)</f>
        <v>46024</v>
      </c>
      <c r="H113" s="26" t="n">
        <f aca="false">G113</f>
        <v>46024</v>
      </c>
      <c r="I113" s="23" t="s">
        <v>436</v>
      </c>
      <c r="J113" s="24"/>
      <c r="K113" s="24"/>
      <c r="L113" s="24"/>
      <c r="M113" s="24"/>
      <c r="N113" s="23" t="s">
        <v>27</v>
      </c>
      <c r="O113" s="27" t="n">
        <v>0</v>
      </c>
      <c r="P113" s="25"/>
    </row>
    <row r="114" customFormat="false" ht="15" hidden="false" customHeight="true" outlineLevel="0" collapsed="false">
      <c r="A114" s="28" t="n">
        <v>108</v>
      </c>
      <c r="B114" s="29" t="s">
        <v>437</v>
      </c>
      <c r="C114" s="29" t="s">
        <v>438</v>
      </c>
      <c r="D114" s="29" t="s">
        <v>439</v>
      </c>
      <c r="E114" s="30" t="s">
        <v>440</v>
      </c>
      <c r="F114" s="28" t="n">
        <v>1</v>
      </c>
      <c r="G114" s="31" t="n">
        <f aca="false">WORKDAY($B$3,7)</f>
        <v>45910</v>
      </c>
      <c r="H114" s="31" t="n">
        <f aca="false">WORKDAY(G114,0)</f>
        <v>45910</v>
      </c>
      <c r="I114" s="28" t="s">
        <v>406</v>
      </c>
      <c r="J114" s="29" t="s">
        <v>24</v>
      </c>
      <c r="K114" s="29"/>
      <c r="L114" s="29" t="s">
        <v>36</v>
      </c>
      <c r="M114" s="29"/>
      <c r="N114" s="28" t="s">
        <v>27</v>
      </c>
      <c r="O114" s="32" t="n">
        <v>0</v>
      </c>
      <c r="P114" s="30" t="s">
        <v>441</v>
      </c>
    </row>
    <row r="115" customFormat="false" ht="15" hidden="false" customHeight="true" outlineLevel="0" collapsed="false">
      <c r="A115" s="28" t="n">
        <v>109</v>
      </c>
      <c r="B115" s="29" t="s">
        <v>442</v>
      </c>
      <c r="C115" s="29" t="s">
        <v>438</v>
      </c>
      <c r="D115" s="29" t="s">
        <v>439</v>
      </c>
      <c r="E115" s="30" t="s">
        <v>443</v>
      </c>
      <c r="F115" s="28" t="n">
        <v>1</v>
      </c>
      <c r="G115" s="31" t="n">
        <f aca="false">WORKDAY($B$3,9)</f>
        <v>45912</v>
      </c>
      <c r="H115" s="31" t="n">
        <f aca="false">WORKDAY(G115,0)</f>
        <v>45912</v>
      </c>
      <c r="I115" s="28" t="s">
        <v>47</v>
      </c>
      <c r="J115" s="29" t="s">
        <v>24</v>
      </c>
      <c r="K115" s="29"/>
      <c r="L115" s="29" t="s">
        <v>35</v>
      </c>
      <c r="M115" s="29" t="s">
        <v>36</v>
      </c>
      <c r="N115" s="28" t="s">
        <v>27</v>
      </c>
      <c r="O115" s="32" t="n">
        <v>0</v>
      </c>
      <c r="P115" s="30" t="s">
        <v>444</v>
      </c>
    </row>
    <row r="116" customFormat="false" ht="15" hidden="false" customHeight="true" outlineLevel="0" collapsed="false">
      <c r="A116" s="33" t="n">
        <v>110</v>
      </c>
      <c r="B116" s="34" t="s">
        <v>445</v>
      </c>
      <c r="C116" s="34" t="s">
        <v>438</v>
      </c>
      <c r="D116" s="34" t="s">
        <v>446</v>
      </c>
      <c r="E116" s="35" t="s">
        <v>447</v>
      </c>
      <c r="F116" s="33" t="n">
        <v>1</v>
      </c>
      <c r="G116" s="36" t="n">
        <f aca="false">WORKDAY($B$3,14)</f>
        <v>45919</v>
      </c>
      <c r="H116" s="36" t="n">
        <f aca="false">WORKDAY(G116,0)</f>
        <v>45919</v>
      </c>
      <c r="I116" s="33" t="s">
        <v>390</v>
      </c>
      <c r="J116" s="34" t="s">
        <v>41</v>
      </c>
      <c r="K116" s="34" t="s">
        <v>42</v>
      </c>
      <c r="L116" s="34" t="s">
        <v>26</v>
      </c>
      <c r="M116" s="34"/>
      <c r="N116" s="33" t="s">
        <v>27</v>
      </c>
      <c r="O116" s="37" t="n">
        <v>0</v>
      </c>
      <c r="P116" s="35" t="s">
        <v>448</v>
      </c>
    </row>
  </sheetData>
  <mergeCells count="4">
    <mergeCell ref="A1:P1"/>
    <mergeCell ref="A2:P2"/>
    <mergeCell ref="C3:H3"/>
    <mergeCell ref="A4:P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2"/>
    <col collapsed="false" customWidth="true" hidden="false" outlineLevel="0" max="3" min="3" style="0" width="60"/>
    <col collapsed="false" customWidth="true" hidden="false" outlineLevel="0" max="4" min="4" style="0" width="12"/>
    <col collapsed="false" customWidth="true" hidden="false" outlineLevel="0" max="7" min="5" style="0" width="14"/>
    <col collapsed="false" customWidth="true" hidden="false" outlineLevel="0" max="8" min="8" style="0" width="30"/>
    <col collapsed="false" customWidth="true" hidden="false" outlineLevel="0" max="9" min="9" style="0" width="50"/>
  </cols>
  <sheetData>
    <row r="1" customFormat="false" ht="15.75" hidden="false" customHeight="true" outlineLevel="0" collapsed="false">
      <c r="A1" s="38" t="s">
        <v>449</v>
      </c>
      <c r="B1" s="38"/>
      <c r="C1" s="38"/>
      <c r="D1" s="38"/>
      <c r="E1" s="38"/>
      <c r="F1" s="38"/>
      <c r="G1" s="38"/>
      <c r="H1" s="38"/>
      <c r="I1" s="38"/>
    </row>
    <row r="2" customFormat="false" ht="15" hidden="false" customHeight="false" outlineLevel="0" collapsed="false">
      <c r="A2" s="39" t="s">
        <v>5</v>
      </c>
      <c r="B2" s="39" t="s">
        <v>450</v>
      </c>
      <c r="C2" s="39" t="s">
        <v>451</v>
      </c>
      <c r="D2" s="39" t="s">
        <v>452</v>
      </c>
      <c r="E2" s="39" t="s">
        <v>453</v>
      </c>
      <c r="F2" s="39" t="s">
        <v>454</v>
      </c>
      <c r="G2" s="39" t="s">
        <v>13</v>
      </c>
      <c r="H2" s="39" t="s">
        <v>455</v>
      </c>
      <c r="I2" s="39" t="s">
        <v>456</v>
      </c>
    </row>
    <row r="3" customFormat="false" ht="15" hidden="false" customHeight="false" outlineLevel="0" collapsed="false">
      <c r="A3" s="40" t="n">
        <v>1</v>
      </c>
      <c r="B3" s="40" t="n">
        <v>1</v>
      </c>
      <c r="C3" s="40" t="s">
        <v>23</v>
      </c>
      <c r="D3" s="40" t="s">
        <v>457</v>
      </c>
      <c r="E3" s="41" t="n">
        <f aca="false">WORKDAY('Project Plan'!$B$3,0)</f>
        <v>45901</v>
      </c>
      <c r="F3" s="41" t="n">
        <f aca="false">WORKDAY(E3,9)</f>
        <v>45912</v>
      </c>
      <c r="G3" s="40"/>
      <c r="H3" s="40" t="s">
        <v>458</v>
      </c>
      <c r="I3" s="40" t="s">
        <v>28</v>
      </c>
    </row>
    <row r="4" customFormat="false" ht="15" hidden="false" customHeight="false" outlineLevel="0" collapsed="false">
      <c r="A4" s="42" t="n">
        <v>2</v>
      </c>
      <c r="B4" s="42" t="n">
        <v>2</v>
      </c>
      <c r="C4" s="42" t="s">
        <v>459</v>
      </c>
      <c r="D4" s="42" t="s">
        <v>460</v>
      </c>
      <c r="E4" s="43" t="n">
        <f aca="false">WORKDAY('Project Plan'!$B$3,0)</f>
        <v>45901</v>
      </c>
      <c r="F4" s="43" t="n">
        <f aca="false">WORKDAY(E4,0)</f>
        <v>45901</v>
      </c>
      <c r="G4" s="42"/>
      <c r="H4" s="42" t="s">
        <v>461</v>
      </c>
      <c r="I4" s="42" t="s">
        <v>32</v>
      </c>
    </row>
    <row r="5" customFormat="false" ht="15" hidden="false" customHeight="false" outlineLevel="0" collapsed="false">
      <c r="A5" s="40" t="n">
        <v>3</v>
      </c>
      <c r="B5" s="40" t="n">
        <v>2</v>
      </c>
      <c r="C5" s="40" t="s">
        <v>462</v>
      </c>
      <c r="D5" s="40" t="s">
        <v>460</v>
      </c>
      <c r="E5" s="41" t="n">
        <f aca="false">WORKDAY('Project Plan'!$B$3,0)</f>
        <v>45901</v>
      </c>
      <c r="F5" s="41" t="n">
        <f aca="false">WORKDAY(E5,0)</f>
        <v>45901</v>
      </c>
      <c r="G5" s="40"/>
      <c r="H5" s="40" t="s">
        <v>463</v>
      </c>
      <c r="I5" s="40" t="s">
        <v>37</v>
      </c>
    </row>
    <row r="6" customFormat="false" ht="15" hidden="false" customHeight="false" outlineLevel="0" collapsed="false">
      <c r="A6" s="42" t="n">
        <v>4</v>
      </c>
      <c r="B6" s="42" t="n">
        <v>2</v>
      </c>
      <c r="C6" s="42" t="s">
        <v>464</v>
      </c>
      <c r="D6" s="42" t="s">
        <v>460</v>
      </c>
      <c r="E6" s="43" t="n">
        <f aca="false">WORKDAY('Project Plan'!$B$3,1)</f>
        <v>45902</v>
      </c>
      <c r="F6" s="43" t="n">
        <f aca="false">WORKDAY(E6,0)</f>
        <v>45902</v>
      </c>
      <c r="G6" s="42" t="s">
        <v>40</v>
      </c>
      <c r="H6" s="42" t="s">
        <v>465</v>
      </c>
      <c r="I6" s="42" t="s">
        <v>44</v>
      </c>
    </row>
    <row r="7" customFormat="false" ht="15" hidden="false" customHeight="false" outlineLevel="0" collapsed="false">
      <c r="A7" s="40" t="n">
        <v>5</v>
      </c>
      <c r="B7" s="40" t="n">
        <v>2</v>
      </c>
      <c r="C7" s="40" t="s">
        <v>466</v>
      </c>
      <c r="D7" s="40" t="s">
        <v>467</v>
      </c>
      <c r="E7" s="41" t="n">
        <f aca="false">WORKDAY('Project Plan'!$B$3,1)</f>
        <v>45902</v>
      </c>
      <c r="F7" s="41" t="n">
        <f aca="false">WORKDAY(E7,2)</f>
        <v>45904</v>
      </c>
      <c r="G7" s="40" t="s">
        <v>47</v>
      </c>
      <c r="H7" s="40" t="s">
        <v>468</v>
      </c>
      <c r="I7" s="40" t="s">
        <v>49</v>
      </c>
    </row>
    <row r="8" customFormat="false" ht="15" hidden="false" customHeight="false" outlineLevel="0" collapsed="false">
      <c r="A8" s="42" t="n">
        <v>6</v>
      </c>
      <c r="B8" s="42" t="n">
        <v>2</v>
      </c>
      <c r="C8" s="42" t="s">
        <v>469</v>
      </c>
      <c r="D8" s="42" t="s">
        <v>470</v>
      </c>
      <c r="E8" s="43" t="n">
        <f aca="false">WORKDAY('Project Plan'!$B$3,1)</f>
        <v>45902</v>
      </c>
      <c r="F8" s="43" t="n">
        <f aca="false">WORKDAY(E8,1)</f>
        <v>45903</v>
      </c>
      <c r="G8" s="42" t="s">
        <v>47</v>
      </c>
      <c r="H8" s="42" t="s">
        <v>471</v>
      </c>
      <c r="I8" s="42" t="s">
        <v>54</v>
      </c>
    </row>
    <row r="9" customFormat="false" ht="15" hidden="false" customHeight="false" outlineLevel="0" collapsed="false">
      <c r="A9" s="40" t="n">
        <v>7</v>
      </c>
      <c r="B9" s="40" t="n">
        <v>2</v>
      </c>
      <c r="C9" s="40" t="s">
        <v>472</v>
      </c>
      <c r="D9" s="40" t="s">
        <v>460</v>
      </c>
      <c r="E9" s="41" t="n">
        <f aca="false">WORKDAY('Project Plan'!$B$3,2)</f>
        <v>45903</v>
      </c>
      <c r="F9" s="41" t="n">
        <f aca="false">WORKDAY(E9,0)</f>
        <v>45903</v>
      </c>
      <c r="G9" s="40" t="s">
        <v>47</v>
      </c>
      <c r="H9" s="40" t="s">
        <v>473</v>
      </c>
      <c r="I9" s="40" t="s">
        <v>58</v>
      </c>
    </row>
    <row r="10" customFormat="false" ht="15" hidden="false" customHeight="false" outlineLevel="0" collapsed="false">
      <c r="A10" s="42" t="n">
        <v>8</v>
      </c>
      <c r="B10" s="42" t="n">
        <v>2</v>
      </c>
      <c r="C10" s="42" t="s">
        <v>474</v>
      </c>
      <c r="D10" s="42" t="s">
        <v>460</v>
      </c>
      <c r="E10" s="43" t="n">
        <f aca="false">WORKDAY('Project Plan'!$B$3,3)</f>
        <v>45904</v>
      </c>
      <c r="F10" s="43" t="n">
        <f aca="false">WORKDAY(E10,0)</f>
        <v>45904</v>
      </c>
      <c r="G10" s="42" t="s">
        <v>61</v>
      </c>
      <c r="H10" s="42" t="s">
        <v>475</v>
      </c>
      <c r="I10" s="42" t="s">
        <v>62</v>
      </c>
    </row>
    <row r="11" customFormat="false" ht="15" hidden="false" customHeight="false" outlineLevel="0" collapsed="false">
      <c r="A11" s="40" t="n">
        <v>9</v>
      </c>
      <c r="B11" s="40" t="n">
        <v>2</v>
      </c>
      <c r="C11" s="40" t="s">
        <v>476</v>
      </c>
      <c r="D11" s="40" t="s">
        <v>460</v>
      </c>
      <c r="E11" s="41" t="n">
        <f aca="false">WORKDAY('Project Plan'!$B$3,2)</f>
        <v>45903</v>
      </c>
      <c r="F11" s="41" t="n">
        <f aca="false">WORKDAY(E11,0)</f>
        <v>45903</v>
      </c>
      <c r="G11" s="40" t="s">
        <v>47</v>
      </c>
      <c r="H11" s="40" t="s">
        <v>477</v>
      </c>
      <c r="I11" s="40" t="s">
        <v>65</v>
      </c>
    </row>
    <row r="12" customFormat="false" ht="15" hidden="false" customHeight="false" outlineLevel="0" collapsed="false">
      <c r="A12" s="42" t="n">
        <v>10</v>
      </c>
      <c r="B12" s="42" t="n">
        <v>2</v>
      </c>
      <c r="C12" s="42" t="s">
        <v>478</v>
      </c>
      <c r="D12" s="42" t="s">
        <v>460</v>
      </c>
      <c r="E12" s="43" t="n">
        <f aca="false">WORKDAY('Project Plan'!$B$3,3)</f>
        <v>45904</v>
      </c>
      <c r="F12" s="43" t="n">
        <f aca="false">WORKDAY(E12,0)</f>
        <v>45904</v>
      </c>
      <c r="G12" s="42" t="s">
        <v>47</v>
      </c>
      <c r="H12" s="42" t="s">
        <v>479</v>
      </c>
      <c r="I12" s="42" t="s">
        <v>68</v>
      </c>
    </row>
    <row r="13" customFormat="false" ht="15" hidden="false" customHeight="false" outlineLevel="0" collapsed="false">
      <c r="A13" s="40" t="n">
        <v>11</v>
      </c>
      <c r="B13" s="40" t="n">
        <v>2</v>
      </c>
      <c r="C13" s="40" t="s">
        <v>480</v>
      </c>
      <c r="D13" s="40" t="s">
        <v>460</v>
      </c>
      <c r="E13" s="41" t="n">
        <f aca="false">WORKDAY('Project Plan'!$B$3,4)</f>
        <v>45905</v>
      </c>
      <c r="F13" s="41" t="n">
        <f aca="false">WORKDAY(E13,0)</f>
        <v>45905</v>
      </c>
      <c r="G13" s="40" t="s">
        <v>47</v>
      </c>
      <c r="H13" s="40" t="s">
        <v>481</v>
      </c>
      <c r="I13" s="40" t="s">
        <v>72</v>
      </c>
    </row>
    <row r="14" customFormat="false" ht="15" hidden="false" customHeight="false" outlineLevel="0" collapsed="false">
      <c r="A14" s="42" t="n">
        <v>12</v>
      </c>
      <c r="B14" s="42" t="n">
        <v>2</v>
      </c>
      <c r="C14" s="42" t="s">
        <v>482</v>
      </c>
      <c r="D14" s="42" t="s">
        <v>460</v>
      </c>
      <c r="E14" s="43" t="n">
        <f aca="false">WORKDAY('Project Plan'!$B$3,4)</f>
        <v>45905</v>
      </c>
      <c r="F14" s="43" t="n">
        <f aca="false">WORKDAY(E14,0)</f>
        <v>45905</v>
      </c>
      <c r="G14" s="42" t="s">
        <v>47</v>
      </c>
      <c r="H14" s="42" t="s">
        <v>483</v>
      </c>
      <c r="I14" s="42" t="s">
        <v>75</v>
      </c>
    </row>
    <row r="15" customFormat="false" ht="15" hidden="false" customHeight="false" outlineLevel="0" collapsed="false">
      <c r="A15" s="40" t="n">
        <v>13</v>
      </c>
      <c r="B15" s="40" t="n">
        <v>2</v>
      </c>
      <c r="C15" s="40" t="s">
        <v>484</v>
      </c>
      <c r="D15" s="40" t="s">
        <v>460</v>
      </c>
      <c r="E15" s="41" t="n">
        <f aca="false">WORKDAY('Project Plan'!$B$3,9)</f>
        <v>45912</v>
      </c>
      <c r="F15" s="41" t="n">
        <f aca="false">WORKDAY(E15,0)</f>
        <v>45912</v>
      </c>
      <c r="G15" s="40" t="s">
        <v>78</v>
      </c>
      <c r="H15" s="40" t="s">
        <v>485</v>
      </c>
      <c r="I15" s="40" t="s">
        <v>79</v>
      </c>
    </row>
    <row r="16" customFormat="false" ht="15" hidden="false" customHeight="false" outlineLevel="0" collapsed="false">
      <c r="A16" s="42" t="n">
        <v>14</v>
      </c>
      <c r="B16" s="42" t="n">
        <v>0</v>
      </c>
      <c r="C16" s="42" t="s">
        <v>81</v>
      </c>
      <c r="D16" s="42" t="s">
        <v>486</v>
      </c>
      <c r="E16" s="43" t="n">
        <f aca="false">WORKDAY('Project Plan'!$B$3,9)</f>
        <v>45912</v>
      </c>
      <c r="F16" s="43" t="n">
        <f aca="false">WORKDAY(E16,0)</f>
        <v>45912</v>
      </c>
      <c r="G16" s="42" t="s">
        <v>83</v>
      </c>
      <c r="H16" s="42"/>
      <c r="I16" s="42"/>
    </row>
    <row r="17" customFormat="false" ht="15" hidden="false" customHeight="false" outlineLevel="0" collapsed="false">
      <c r="A17" s="40" t="n">
        <v>15</v>
      </c>
      <c r="B17" s="40" t="n">
        <v>1</v>
      </c>
      <c r="C17" s="40" t="s">
        <v>87</v>
      </c>
      <c r="D17" s="40" t="s">
        <v>457</v>
      </c>
      <c r="E17" s="41" t="n">
        <f aca="false">WORKDAY('Project Plan'!$B$3,10)</f>
        <v>45915</v>
      </c>
      <c r="F17" s="41" t="n">
        <f aca="false">WORKDAY(E17,9)</f>
        <v>45926</v>
      </c>
      <c r="G17" s="40"/>
      <c r="H17" s="40" t="s">
        <v>487</v>
      </c>
      <c r="I17" s="40" t="s">
        <v>89</v>
      </c>
    </row>
    <row r="18" customFormat="false" ht="15" hidden="false" customHeight="false" outlineLevel="0" collapsed="false">
      <c r="A18" s="42" t="n">
        <v>16</v>
      </c>
      <c r="B18" s="42" t="n">
        <v>2</v>
      </c>
      <c r="C18" s="42" t="s">
        <v>488</v>
      </c>
      <c r="D18" s="42" t="s">
        <v>460</v>
      </c>
      <c r="E18" s="43" t="n">
        <f aca="false">WORKDAY('Project Plan'!$B$3,10)</f>
        <v>45915</v>
      </c>
      <c r="F18" s="43" t="n">
        <f aca="false">WORKDAY(E18,0)</f>
        <v>45915</v>
      </c>
      <c r="G18" s="42" t="s">
        <v>92</v>
      </c>
      <c r="H18" s="42" t="s">
        <v>489</v>
      </c>
      <c r="I18" s="42" t="s">
        <v>94</v>
      </c>
    </row>
    <row r="19" customFormat="false" ht="15" hidden="false" customHeight="false" outlineLevel="0" collapsed="false">
      <c r="A19" s="40" t="n">
        <v>17</v>
      </c>
      <c r="B19" s="40" t="n">
        <v>2</v>
      </c>
      <c r="C19" s="40" t="s">
        <v>490</v>
      </c>
      <c r="D19" s="40" t="s">
        <v>467</v>
      </c>
      <c r="E19" s="41" t="n">
        <f aca="false">WORKDAY('Project Plan'!$B$3,10)</f>
        <v>45915</v>
      </c>
      <c r="F19" s="41" t="n">
        <f aca="false">WORKDAY(E19,2)</f>
        <v>45917</v>
      </c>
      <c r="G19" s="40" t="s">
        <v>97</v>
      </c>
      <c r="H19" s="40" t="s">
        <v>468</v>
      </c>
      <c r="I19" s="40" t="s">
        <v>98</v>
      </c>
    </row>
    <row r="20" customFormat="false" ht="15" hidden="false" customHeight="false" outlineLevel="0" collapsed="false">
      <c r="A20" s="42" t="n">
        <v>18</v>
      </c>
      <c r="B20" s="42" t="n">
        <v>2</v>
      </c>
      <c r="C20" s="42" t="s">
        <v>491</v>
      </c>
      <c r="D20" s="42" t="s">
        <v>470</v>
      </c>
      <c r="E20" s="43" t="n">
        <f aca="false">WORKDAY('Project Plan'!$B$3,10)</f>
        <v>45915</v>
      </c>
      <c r="F20" s="43" t="n">
        <f aca="false">WORKDAY(E20,1)</f>
        <v>45916</v>
      </c>
      <c r="G20" s="42" t="s">
        <v>101</v>
      </c>
      <c r="H20" s="42" t="s">
        <v>492</v>
      </c>
      <c r="I20" s="42" t="s">
        <v>102</v>
      </c>
    </row>
    <row r="21" customFormat="false" ht="15" hidden="false" customHeight="false" outlineLevel="0" collapsed="false">
      <c r="A21" s="40" t="n">
        <v>19</v>
      </c>
      <c r="B21" s="40" t="n">
        <v>2</v>
      </c>
      <c r="C21" s="40" t="s">
        <v>493</v>
      </c>
      <c r="D21" s="40" t="s">
        <v>470</v>
      </c>
      <c r="E21" s="41" t="n">
        <f aca="false">WORKDAY('Project Plan'!$B$3,12)</f>
        <v>45917</v>
      </c>
      <c r="F21" s="41" t="n">
        <f aca="false">WORKDAY(E21,1)</f>
        <v>45918</v>
      </c>
      <c r="G21" s="40" t="s">
        <v>105</v>
      </c>
      <c r="H21" s="40" t="s">
        <v>494</v>
      </c>
      <c r="I21" s="40" t="s">
        <v>106</v>
      </c>
    </row>
    <row r="22" customFormat="false" ht="15" hidden="false" customHeight="false" outlineLevel="0" collapsed="false">
      <c r="A22" s="42" t="n">
        <v>20</v>
      </c>
      <c r="B22" s="42" t="n">
        <v>2</v>
      </c>
      <c r="C22" s="42" t="s">
        <v>495</v>
      </c>
      <c r="D22" s="42" t="s">
        <v>460</v>
      </c>
      <c r="E22" s="43" t="n">
        <f aca="false">WORKDAY('Project Plan'!$B$3,10)</f>
        <v>45915</v>
      </c>
      <c r="F22" s="43" t="n">
        <f aca="false">WORKDAY(E22,0)</f>
        <v>45915</v>
      </c>
      <c r="G22" s="42" t="s">
        <v>101</v>
      </c>
      <c r="H22" s="42" t="s">
        <v>496</v>
      </c>
      <c r="I22" s="42" t="s">
        <v>109</v>
      </c>
    </row>
    <row r="23" customFormat="false" ht="15" hidden="false" customHeight="false" outlineLevel="0" collapsed="false">
      <c r="A23" s="40" t="n">
        <v>21</v>
      </c>
      <c r="B23" s="40" t="n">
        <v>2</v>
      </c>
      <c r="C23" s="40" t="s">
        <v>497</v>
      </c>
      <c r="D23" s="40" t="s">
        <v>460</v>
      </c>
      <c r="E23" s="41" t="n">
        <f aca="false">WORKDAY('Project Plan'!$B$3,11)</f>
        <v>45916</v>
      </c>
      <c r="F23" s="41" t="n">
        <f aca="false">WORKDAY(E23,0)</f>
        <v>45916</v>
      </c>
      <c r="G23" s="40" t="s">
        <v>112</v>
      </c>
      <c r="H23" s="40" t="s">
        <v>498</v>
      </c>
      <c r="I23" s="40" t="s">
        <v>113</v>
      </c>
    </row>
    <row r="24" customFormat="false" ht="15" hidden="false" customHeight="false" outlineLevel="0" collapsed="false">
      <c r="A24" s="42" t="n">
        <v>22</v>
      </c>
      <c r="B24" s="42" t="n">
        <v>2</v>
      </c>
      <c r="C24" s="42" t="s">
        <v>499</v>
      </c>
      <c r="D24" s="42" t="s">
        <v>460</v>
      </c>
      <c r="E24" s="43" t="n">
        <f aca="false">WORKDAY('Project Plan'!$B$3,12)</f>
        <v>45917</v>
      </c>
      <c r="F24" s="43" t="n">
        <f aca="false">WORKDAY(E24,0)</f>
        <v>45917</v>
      </c>
      <c r="G24" s="42" t="s">
        <v>116</v>
      </c>
      <c r="H24" s="42" t="s">
        <v>500</v>
      </c>
      <c r="I24" s="42" t="s">
        <v>118</v>
      </c>
    </row>
    <row r="25" customFormat="false" ht="15" hidden="false" customHeight="false" outlineLevel="0" collapsed="false">
      <c r="A25" s="40" t="n">
        <v>23</v>
      </c>
      <c r="B25" s="40" t="n">
        <v>2</v>
      </c>
      <c r="C25" s="40" t="s">
        <v>501</v>
      </c>
      <c r="D25" s="40" t="s">
        <v>470</v>
      </c>
      <c r="E25" s="41" t="n">
        <f aca="false">WORKDAY('Project Plan'!$B$3,13)</f>
        <v>45918</v>
      </c>
      <c r="F25" s="41" t="n">
        <f aca="false">WORKDAY(E25,1)</f>
        <v>45919</v>
      </c>
      <c r="G25" s="40" t="s">
        <v>121</v>
      </c>
      <c r="H25" s="40" t="s">
        <v>502</v>
      </c>
      <c r="I25" s="40" t="s">
        <v>122</v>
      </c>
    </row>
    <row r="26" customFormat="false" ht="15" hidden="false" customHeight="false" outlineLevel="0" collapsed="false">
      <c r="A26" s="42" t="n">
        <v>24</v>
      </c>
      <c r="B26" s="42" t="n">
        <v>2</v>
      </c>
      <c r="C26" s="42" t="s">
        <v>503</v>
      </c>
      <c r="D26" s="42" t="s">
        <v>460</v>
      </c>
      <c r="E26" s="43" t="n">
        <f aca="false">WORKDAY('Project Plan'!$B$3,14)</f>
        <v>45919</v>
      </c>
      <c r="F26" s="43" t="n">
        <f aca="false">WORKDAY(E26,0)</f>
        <v>45919</v>
      </c>
      <c r="G26" s="42" t="s">
        <v>125</v>
      </c>
      <c r="H26" s="42" t="s">
        <v>498</v>
      </c>
      <c r="I26" s="42" t="s">
        <v>126</v>
      </c>
    </row>
    <row r="27" customFormat="false" ht="15" hidden="false" customHeight="false" outlineLevel="0" collapsed="false">
      <c r="A27" s="40" t="n">
        <v>25</v>
      </c>
      <c r="B27" s="40" t="n">
        <v>2</v>
      </c>
      <c r="C27" s="40" t="s">
        <v>504</v>
      </c>
      <c r="D27" s="40" t="s">
        <v>460</v>
      </c>
      <c r="E27" s="41" t="n">
        <f aca="false">WORKDAY('Project Plan'!$B$3,18)</f>
        <v>45925</v>
      </c>
      <c r="F27" s="41" t="n">
        <f aca="false">WORKDAY(E27,0)</f>
        <v>45925</v>
      </c>
      <c r="G27" s="40" t="s">
        <v>129</v>
      </c>
      <c r="H27" s="40" t="s">
        <v>505</v>
      </c>
      <c r="I27" s="40" t="s">
        <v>131</v>
      </c>
    </row>
    <row r="28" customFormat="false" ht="15" hidden="false" customHeight="false" outlineLevel="0" collapsed="false">
      <c r="A28" s="42" t="n">
        <v>26</v>
      </c>
      <c r="B28" s="42" t="n">
        <v>2</v>
      </c>
      <c r="C28" s="42" t="s">
        <v>506</v>
      </c>
      <c r="D28" s="42" t="s">
        <v>460</v>
      </c>
      <c r="E28" s="43" t="n">
        <f aca="false">WORKDAY('Project Plan'!$B$3,19)</f>
        <v>45926</v>
      </c>
      <c r="F28" s="43" t="n">
        <f aca="false">WORKDAY(E28,0)</f>
        <v>45926</v>
      </c>
      <c r="G28" s="42" t="s">
        <v>134</v>
      </c>
      <c r="H28" s="42" t="s">
        <v>507</v>
      </c>
      <c r="I28" s="42" t="s">
        <v>135</v>
      </c>
    </row>
    <row r="29" customFormat="false" ht="15" hidden="false" customHeight="false" outlineLevel="0" collapsed="false">
      <c r="A29" s="40" t="n">
        <v>27</v>
      </c>
      <c r="B29" s="40" t="n">
        <v>0</v>
      </c>
      <c r="C29" s="40" t="s">
        <v>137</v>
      </c>
      <c r="D29" s="40" t="s">
        <v>486</v>
      </c>
      <c r="E29" s="41" t="n">
        <f aca="false">WORKDAY('Project Plan'!$B$3,19)</f>
        <v>45926</v>
      </c>
      <c r="F29" s="41" t="n">
        <f aca="false">WORKDAY(E29,0)</f>
        <v>45926</v>
      </c>
      <c r="G29" s="40" t="s">
        <v>138</v>
      </c>
      <c r="H29" s="40"/>
      <c r="I29" s="40"/>
    </row>
    <row r="30" customFormat="false" ht="15" hidden="false" customHeight="false" outlineLevel="0" collapsed="false">
      <c r="A30" s="42" t="n">
        <v>28</v>
      </c>
      <c r="B30" s="42" t="n">
        <v>1</v>
      </c>
      <c r="C30" s="42" t="s">
        <v>141</v>
      </c>
      <c r="D30" s="42" t="s">
        <v>457</v>
      </c>
      <c r="E30" s="43" t="n">
        <f aca="false">WORKDAY('Project Plan'!$B$3,20)</f>
        <v>45929</v>
      </c>
      <c r="F30" s="43" t="n">
        <f aca="false">WORKDAY(E30,9)</f>
        <v>45940</v>
      </c>
      <c r="G30" s="42"/>
      <c r="H30" s="42" t="s">
        <v>508</v>
      </c>
      <c r="I30" s="42" t="s">
        <v>142</v>
      </c>
    </row>
    <row r="31" customFormat="false" ht="15" hidden="false" customHeight="false" outlineLevel="0" collapsed="false">
      <c r="A31" s="40" t="n">
        <v>29</v>
      </c>
      <c r="B31" s="40" t="n">
        <v>2</v>
      </c>
      <c r="C31" s="40" t="s">
        <v>509</v>
      </c>
      <c r="D31" s="40" t="s">
        <v>460</v>
      </c>
      <c r="E31" s="41" t="n">
        <f aca="false">WORKDAY('Project Plan'!$B$3,20)</f>
        <v>45929</v>
      </c>
      <c r="F31" s="41" t="n">
        <f aca="false">WORKDAY(E31,0)</f>
        <v>45929</v>
      </c>
      <c r="G31" s="40" t="s">
        <v>145</v>
      </c>
      <c r="H31" s="40" t="s">
        <v>489</v>
      </c>
      <c r="I31" s="40"/>
    </row>
    <row r="32" customFormat="false" ht="15" hidden="false" customHeight="false" outlineLevel="0" collapsed="false">
      <c r="A32" s="42" t="n">
        <v>30</v>
      </c>
      <c r="B32" s="42" t="n">
        <v>2</v>
      </c>
      <c r="C32" s="42" t="s">
        <v>510</v>
      </c>
      <c r="D32" s="42" t="s">
        <v>467</v>
      </c>
      <c r="E32" s="43" t="n">
        <f aca="false">WORKDAY('Project Plan'!$B$3,20)</f>
        <v>45929</v>
      </c>
      <c r="F32" s="43" t="n">
        <f aca="false">WORKDAY(E32,2)</f>
        <v>45931</v>
      </c>
      <c r="G32" s="42" t="s">
        <v>148</v>
      </c>
      <c r="H32" s="42" t="s">
        <v>471</v>
      </c>
      <c r="I32" s="42" t="s">
        <v>149</v>
      </c>
    </row>
    <row r="33" customFormat="false" ht="15" hidden="false" customHeight="false" outlineLevel="0" collapsed="false">
      <c r="A33" s="40" t="n">
        <v>31</v>
      </c>
      <c r="B33" s="40" t="n">
        <v>2</v>
      </c>
      <c r="C33" s="40" t="s">
        <v>511</v>
      </c>
      <c r="D33" s="40" t="s">
        <v>512</v>
      </c>
      <c r="E33" s="41" t="n">
        <f aca="false">WORKDAY('Project Plan'!$B$3,20)</f>
        <v>45929</v>
      </c>
      <c r="F33" s="41" t="n">
        <f aca="false">WORKDAY(E33,3)</f>
        <v>45932</v>
      </c>
      <c r="G33" s="40" t="s">
        <v>148</v>
      </c>
      <c r="H33" s="40" t="s">
        <v>471</v>
      </c>
      <c r="I33" s="40" t="s">
        <v>152</v>
      </c>
    </row>
    <row r="34" customFormat="false" ht="15" hidden="false" customHeight="false" outlineLevel="0" collapsed="false">
      <c r="A34" s="42" t="n">
        <v>32</v>
      </c>
      <c r="B34" s="42" t="n">
        <v>2</v>
      </c>
      <c r="C34" s="42" t="s">
        <v>513</v>
      </c>
      <c r="D34" s="42" t="s">
        <v>460</v>
      </c>
      <c r="E34" s="43" t="n">
        <f aca="false">WORKDAY('Project Plan'!$B$3,20)</f>
        <v>45929</v>
      </c>
      <c r="F34" s="43" t="n">
        <f aca="false">WORKDAY(E34,0)</f>
        <v>45929</v>
      </c>
      <c r="G34" s="42" t="s">
        <v>148</v>
      </c>
      <c r="H34" s="42" t="s">
        <v>514</v>
      </c>
      <c r="I34" s="42" t="s">
        <v>155</v>
      </c>
    </row>
    <row r="35" customFormat="false" ht="15" hidden="false" customHeight="false" outlineLevel="0" collapsed="false">
      <c r="A35" s="40" t="n">
        <v>33</v>
      </c>
      <c r="B35" s="40" t="n">
        <v>2</v>
      </c>
      <c r="C35" s="40" t="s">
        <v>515</v>
      </c>
      <c r="D35" s="40" t="s">
        <v>460</v>
      </c>
      <c r="E35" s="41" t="n">
        <f aca="false">WORKDAY('Project Plan'!$B$3,21)</f>
        <v>45930</v>
      </c>
      <c r="F35" s="41" t="n">
        <f aca="false">WORKDAY(E35,0)</f>
        <v>45930</v>
      </c>
      <c r="G35" s="40" t="s">
        <v>158</v>
      </c>
      <c r="H35" s="40" t="s">
        <v>516</v>
      </c>
      <c r="I35" s="40" t="s">
        <v>159</v>
      </c>
    </row>
    <row r="36" customFormat="false" ht="15" hidden="false" customHeight="false" outlineLevel="0" collapsed="false">
      <c r="A36" s="42" t="n">
        <v>34</v>
      </c>
      <c r="B36" s="42" t="n">
        <v>2</v>
      </c>
      <c r="C36" s="42" t="s">
        <v>517</v>
      </c>
      <c r="D36" s="42" t="s">
        <v>467</v>
      </c>
      <c r="E36" s="43" t="n">
        <f aca="false">WORKDAY('Project Plan'!$B$3,22)</f>
        <v>45931</v>
      </c>
      <c r="F36" s="43" t="n">
        <f aca="false">WORKDAY(E36,2)</f>
        <v>45933</v>
      </c>
      <c r="G36" s="42" t="s">
        <v>162</v>
      </c>
      <c r="H36" s="42" t="s">
        <v>471</v>
      </c>
      <c r="I36" s="42" t="s">
        <v>163</v>
      </c>
    </row>
    <row r="37" customFormat="false" ht="15" hidden="false" customHeight="false" outlineLevel="0" collapsed="false">
      <c r="A37" s="40" t="n">
        <v>35</v>
      </c>
      <c r="B37" s="40" t="n">
        <v>2</v>
      </c>
      <c r="C37" s="40" t="s">
        <v>518</v>
      </c>
      <c r="D37" s="40" t="s">
        <v>460</v>
      </c>
      <c r="E37" s="41" t="n">
        <f aca="false">WORKDAY('Project Plan'!$B$3,20)</f>
        <v>45929</v>
      </c>
      <c r="F37" s="41" t="n">
        <f aca="false">WORKDAY(E37,0)</f>
        <v>45929</v>
      </c>
      <c r="G37" s="40" t="s">
        <v>148</v>
      </c>
      <c r="H37" s="40" t="s">
        <v>519</v>
      </c>
      <c r="I37" s="40" t="s">
        <v>166</v>
      </c>
    </row>
    <row r="38" customFormat="false" ht="15" hidden="false" customHeight="false" outlineLevel="0" collapsed="false">
      <c r="A38" s="42" t="n">
        <v>36</v>
      </c>
      <c r="B38" s="42" t="n">
        <v>2</v>
      </c>
      <c r="C38" s="42" t="s">
        <v>520</v>
      </c>
      <c r="D38" s="42" t="s">
        <v>470</v>
      </c>
      <c r="E38" s="43" t="n">
        <f aca="false">WORKDAY('Project Plan'!$B$3,21)</f>
        <v>45930</v>
      </c>
      <c r="F38" s="43" t="n">
        <f aca="false">WORKDAY(E38,1)</f>
        <v>45931</v>
      </c>
      <c r="G38" s="42" t="s">
        <v>169</v>
      </c>
      <c r="H38" s="42" t="s">
        <v>521</v>
      </c>
      <c r="I38" s="42" t="s">
        <v>170</v>
      </c>
    </row>
    <row r="39" customFormat="false" ht="15" hidden="false" customHeight="false" outlineLevel="0" collapsed="false">
      <c r="A39" s="40" t="n">
        <v>37</v>
      </c>
      <c r="B39" s="40" t="n">
        <v>2</v>
      </c>
      <c r="C39" s="40" t="s">
        <v>522</v>
      </c>
      <c r="D39" s="40" t="s">
        <v>460</v>
      </c>
      <c r="E39" s="41" t="n">
        <f aca="false">WORKDAY('Project Plan'!$B$3,28)</f>
        <v>45939</v>
      </c>
      <c r="F39" s="41" t="n">
        <f aca="false">WORKDAY(E39,0)</f>
        <v>45939</v>
      </c>
      <c r="G39" s="40" t="s">
        <v>173</v>
      </c>
      <c r="H39" s="40" t="s">
        <v>523</v>
      </c>
      <c r="I39" s="40" t="s">
        <v>174</v>
      </c>
    </row>
    <row r="40" customFormat="false" ht="15" hidden="false" customHeight="false" outlineLevel="0" collapsed="false">
      <c r="A40" s="42" t="n">
        <v>38</v>
      </c>
      <c r="B40" s="42" t="n">
        <v>2</v>
      </c>
      <c r="C40" s="42" t="s">
        <v>524</v>
      </c>
      <c r="D40" s="42" t="s">
        <v>460</v>
      </c>
      <c r="E40" s="43" t="n">
        <f aca="false">WORKDAY('Project Plan'!$B$3,29)</f>
        <v>45940</v>
      </c>
      <c r="F40" s="43" t="n">
        <f aca="false">WORKDAY(E40,0)</f>
        <v>45940</v>
      </c>
      <c r="G40" s="42" t="s">
        <v>177</v>
      </c>
      <c r="H40" s="42" t="s">
        <v>507</v>
      </c>
      <c r="I40" s="42"/>
    </row>
    <row r="41" customFormat="false" ht="15" hidden="false" customHeight="false" outlineLevel="0" collapsed="false">
      <c r="A41" s="40" t="n">
        <v>39</v>
      </c>
      <c r="B41" s="40" t="n">
        <v>0</v>
      </c>
      <c r="C41" s="40" t="s">
        <v>179</v>
      </c>
      <c r="D41" s="40" t="s">
        <v>486</v>
      </c>
      <c r="E41" s="41" t="n">
        <f aca="false">WORKDAY('Project Plan'!$B$3,29)</f>
        <v>45940</v>
      </c>
      <c r="F41" s="41" t="n">
        <f aca="false">WORKDAY(E41,0)</f>
        <v>45940</v>
      </c>
      <c r="G41" s="40" t="s">
        <v>180</v>
      </c>
      <c r="H41" s="40"/>
      <c r="I41" s="40"/>
    </row>
    <row r="42" customFormat="false" ht="15" hidden="false" customHeight="false" outlineLevel="0" collapsed="false">
      <c r="A42" s="42" t="n">
        <v>40</v>
      </c>
      <c r="B42" s="42" t="n">
        <v>1</v>
      </c>
      <c r="C42" s="42" t="s">
        <v>184</v>
      </c>
      <c r="D42" s="42" t="s">
        <v>457</v>
      </c>
      <c r="E42" s="43" t="n">
        <f aca="false">WORKDAY('Project Plan'!$B$3,30)</f>
        <v>45943</v>
      </c>
      <c r="F42" s="43" t="n">
        <f aca="false">WORKDAY(E42,9)</f>
        <v>45954</v>
      </c>
      <c r="G42" s="42"/>
      <c r="H42" s="42" t="s">
        <v>525</v>
      </c>
      <c r="I42" s="42" t="s">
        <v>185</v>
      </c>
    </row>
    <row r="43" customFormat="false" ht="15" hidden="false" customHeight="false" outlineLevel="0" collapsed="false">
      <c r="A43" s="40" t="n">
        <v>41</v>
      </c>
      <c r="B43" s="40" t="n">
        <v>2</v>
      </c>
      <c r="C43" s="40" t="s">
        <v>526</v>
      </c>
      <c r="D43" s="40" t="s">
        <v>460</v>
      </c>
      <c r="E43" s="41" t="n">
        <f aca="false">WORKDAY('Project Plan'!$B$3,30)</f>
        <v>45943</v>
      </c>
      <c r="F43" s="41" t="n">
        <f aca="false">WORKDAY(E43,0)</f>
        <v>45943</v>
      </c>
      <c r="G43" s="40" t="s">
        <v>188</v>
      </c>
      <c r="H43" s="40" t="s">
        <v>489</v>
      </c>
      <c r="I43" s="40"/>
    </row>
    <row r="44" customFormat="false" ht="15" hidden="false" customHeight="false" outlineLevel="0" collapsed="false">
      <c r="A44" s="42" t="n">
        <v>42</v>
      </c>
      <c r="B44" s="42" t="n">
        <v>2</v>
      </c>
      <c r="C44" s="42" t="s">
        <v>527</v>
      </c>
      <c r="D44" s="42" t="s">
        <v>467</v>
      </c>
      <c r="E44" s="43" t="n">
        <f aca="false">WORKDAY('Project Plan'!$B$3,30)</f>
        <v>45943</v>
      </c>
      <c r="F44" s="43" t="n">
        <f aca="false">WORKDAY(E44,2)</f>
        <v>45945</v>
      </c>
      <c r="G44" s="42" t="s">
        <v>191</v>
      </c>
      <c r="H44" s="42" t="s">
        <v>528</v>
      </c>
      <c r="I44" s="42" t="s">
        <v>192</v>
      </c>
    </row>
    <row r="45" customFormat="false" ht="15" hidden="false" customHeight="false" outlineLevel="0" collapsed="false">
      <c r="A45" s="40" t="n">
        <v>43</v>
      </c>
      <c r="B45" s="40" t="n">
        <v>2</v>
      </c>
      <c r="C45" s="40" t="s">
        <v>529</v>
      </c>
      <c r="D45" s="40" t="s">
        <v>470</v>
      </c>
      <c r="E45" s="41" t="n">
        <f aca="false">WORKDAY('Project Plan'!$B$3,33)</f>
        <v>45946</v>
      </c>
      <c r="F45" s="41" t="n">
        <f aca="false">WORKDAY(E45,1)</f>
        <v>45947</v>
      </c>
      <c r="G45" s="40" t="s">
        <v>195</v>
      </c>
      <c r="H45" s="40" t="s">
        <v>530</v>
      </c>
      <c r="I45" s="40" t="s">
        <v>196</v>
      </c>
    </row>
    <row r="46" customFormat="false" ht="15" hidden="false" customHeight="false" outlineLevel="0" collapsed="false">
      <c r="A46" s="42" t="n">
        <v>44</v>
      </c>
      <c r="B46" s="42" t="n">
        <v>2</v>
      </c>
      <c r="C46" s="42" t="s">
        <v>531</v>
      </c>
      <c r="D46" s="42" t="s">
        <v>470</v>
      </c>
      <c r="E46" s="43" t="n">
        <f aca="false">WORKDAY('Project Plan'!$B$3,30)</f>
        <v>45943</v>
      </c>
      <c r="F46" s="43" t="n">
        <f aca="false">WORKDAY(E46,1)</f>
        <v>45944</v>
      </c>
      <c r="G46" s="42" t="s">
        <v>199</v>
      </c>
      <c r="H46" s="42" t="s">
        <v>530</v>
      </c>
      <c r="I46" s="42" t="s">
        <v>200</v>
      </c>
    </row>
    <row r="47" customFormat="false" ht="15" hidden="false" customHeight="false" outlineLevel="0" collapsed="false">
      <c r="A47" s="40" t="n">
        <v>45</v>
      </c>
      <c r="B47" s="40" t="n">
        <v>2</v>
      </c>
      <c r="C47" s="40" t="s">
        <v>532</v>
      </c>
      <c r="D47" s="40" t="s">
        <v>470</v>
      </c>
      <c r="E47" s="41" t="n">
        <f aca="false">WORKDAY('Project Plan'!$B$3,30)</f>
        <v>45943</v>
      </c>
      <c r="F47" s="41" t="n">
        <f aca="false">WORKDAY(E47,1)</f>
        <v>45944</v>
      </c>
      <c r="G47" s="40" t="s">
        <v>203</v>
      </c>
      <c r="H47" s="40" t="s">
        <v>533</v>
      </c>
      <c r="I47" s="40" t="s">
        <v>204</v>
      </c>
    </row>
    <row r="48" customFormat="false" ht="15" hidden="false" customHeight="false" outlineLevel="0" collapsed="false">
      <c r="A48" s="42" t="n">
        <v>46</v>
      </c>
      <c r="B48" s="42" t="n">
        <v>2</v>
      </c>
      <c r="C48" s="42" t="s">
        <v>534</v>
      </c>
      <c r="D48" s="42" t="s">
        <v>470</v>
      </c>
      <c r="E48" s="43" t="n">
        <f aca="false">WORKDAY('Project Plan'!$B$3,32)</f>
        <v>45945</v>
      </c>
      <c r="F48" s="43" t="n">
        <f aca="false">WORKDAY(E48,1)</f>
        <v>45946</v>
      </c>
      <c r="G48" s="42" t="s">
        <v>207</v>
      </c>
      <c r="H48" s="42" t="s">
        <v>530</v>
      </c>
      <c r="I48" s="42" t="s">
        <v>208</v>
      </c>
    </row>
    <row r="49" customFormat="false" ht="15" hidden="false" customHeight="false" outlineLevel="0" collapsed="false">
      <c r="A49" s="40" t="n">
        <v>47</v>
      </c>
      <c r="B49" s="40" t="n">
        <v>2</v>
      </c>
      <c r="C49" s="40" t="s">
        <v>535</v>
      </c>
      <c r="D49" s="40" t="s">
        <v>470</v>
      </c>
      <c r="E49" s="41" t="n">
        <f aca="false">WORKDAY('Project Plan'!$B$3,32)</f>
        <v>45945</v>
      </c>
      <c r="F49" s="41" t="n">
        <f aca="false">WORKDAY(E49,1)</f>
        <v>45946</v>
      </c>
      <c r="G49" s="40" t="s">
        <v>207</v>
      </c>
      <c r="H49" s="40" t="s">
        <v>536</v>
      </c>
      <c r="I49" s="40" t="s">
        <v>211</v>
      </c>
    </row>
    <row r="50" customFormat="false" ht="15" hidden="false" customHeight="false" outlineLevel="0" collapsed="false">
      <c r="A50" s="42" t="n">
        <v>48</v>
      </c>
      <c r="B50" s="42" t="n">
        <v>2</v>
      </c>
      <c r="C50" s="42" t="s">
        <v>537</v>
      </c>
      <c r="D50" s="42" t="s">
        <v>470</v>
      </c>
      <c r="E50" s="43" t="n">
        <f aca="false">WORKDAY('Project Plan'!$B$3,34)</f>
        <v>45947</v>
      </c>
      <c r="F50" s="43" t="n">
        <f aca="false">WORKDAY(E50,1)</f>
        <v>45950</v>
      </c>
      <c r="G50" s="42" t="s">
        <v>214</v>
      </c>
      <c r="H50" s="42" t="s">
        <v>530</v>
      </c>
      <c r="I50" s="42" t="s">
        <v>215</v>
      </c>
    </row>
    <row r="51" customFormat="false" ht="15" hidden="false" customHeight="false" outlineLevel="0" collapsed="false">
      <c r="A51" s="40" t="n">
        <v>49</v>
      </c>
      <c r="B51" s="40" t="n">
        <v>2</v>
      </c>
      <c r="C51" s="40" t="s">
        <v>538</v>
      </c>
      <c r="D51" s="40" t="s">
        <v>460</v>
      </c>
      <c r="E51" s="41" t="n">
        <f aca="false">WORKDAY('Project Plan'!$B$3,36)</f>
        <v>45951</v>
      </c>
      <c r="F51" s="41" t="n">
        <f aca="false">WORKDAY(E51,0)</f>
        <v>45951</v>
      </c>
      <c r="G51" s="40" t="s">
        <v>218</v>
      </c>
      <c r="H51" s="40" t="s">
        <v>539</v>
      </c>
      <c r="I51" s="40" t="s">
        <v>219</v>
      </c>
    </row>
    <row r="52" customFormat="false" ht="15" hidden="false" customHeight="false" outlineLevel="0" collapsed="false">
      <c r="A52" s="42" t="n">
        <v>50</v>
      </c>
      <c r="B52" s="42" t="n">
        <v>2</v>
      </c>
      <c r="C52" s="42" t="s">
        <v>540</v>
      </c>
      <c r="D52" s="42" t="s">
        <v>460</v>
      </c>
      <c r="E52" s="43" t="n">
        <f aca="false">WORKDAY('Project Plan'!$B$3,38)</f>
        <v>45953</v>
      </c>
      <c r="F52" s="43" t="n">
        <f aca="false">WORKDAY(E52,0)</f>
        <v>45953</v>
      </c>
      <c r="G52" s="42" t="s">
        <v>222</v>
      </c>
      <c r="H52" s="42" t="s">
        <v>541</v>
      </c>
      <c r="I52" s="42" t="s">
        <v>223</v>
      </c>
    </row>
    <row r="53" customFormat="false" ht="15" hidden="false" customHeight="false" outlineLevel="0" collapsed="false">
      <c r="A53" s="40" t="n">
        <v>51</v>
      </c>
      <c r="B53" s="40" t="n">
        <v>2</v>
      </c>
      <c r="C53" s="40" t="s">
        <v>542</v>
      </c>
      <c r="D53" s="40" t="s">
        <v>460</v>
      </c>
      <c r="E53" s="41" t="n">
        <f aca="false">WORKDAY('Project Plan'!$B$3,39)</f>
        <v>45954</v>
      </c>
      <c r="F53" s="41" t="n">
        <f aca="false">WORKDAY(E53,0)</f>
        <v>45954</v>
      </c>
      <c r="G53" s="40" t="s">
        <v>226</v>
      </c>
      <c r="H53" s="40" t="s">
        <v>543</v>
      </c>
      <c r="I53" s="40"/>
    </row>
    <row r="54" customFormat="false" ht="15" hidden="false" customHeight="false" outlineLevel="0" collapsed="false">
      <c r="A54" s="42" t="n">
        <v>52</v>
      </c>
      <c r="B54" s="42" t="n">
        <v>0</v>
      </c>
      <c r="C54" s="42" t="s">
        <v>228</v>
      </c>
      <c r="D54" s="42" t="s">
        <v>486</v>
      </c>
      <c r="E54" s="43" t="n">
        <f aca="false">WORKDAY('Project Plan'!$B$3,39)</f>
        <v>45954</v>
      </c>
      <c r="F54" s="43" t="n">
        <f aca="false">WORKDAY(E54,0)</f>
        <v>45954</v>
      </c>
      <c r="G54" s="42" t="s">
        <v>229</v>
      </c>
      <c r="H54" s="42"/>
      <c r="I54" s="42"/>
    </row>
    <row r="55" customFormat="false" ht="15" hidden="false" customHeight="false" outlineLevel="0" collapsed="false">
      <c r="A55" s="40" t="n">
        <v>53</v>
      </c>
      <c r="B55" s="40" t="n">
        <v>1</v>
      </c>
      <c r="C55" s="40" t="s">
        <v>231</v>
      </c>
      <c r="D55" s="40" t="s">
        <v>457</v>
      </c>
      <c r="E55" s="41" t="n">
        <f aca="false">WORKDAY('Project Plan'!$B$3,40)</f>
        <v>45957</v>
      </c>
      <c r="F55" s="41" t="n">
        <f aca="false">WORKDAY(E55,9)</f>
        <v>45968</v>
      </c>
      <c r="G55" s="40"/>
      <c r="H55" s="40" t="s">
        <v>544</v>
      </c>
      <c r="I55" s="40" t="s">
        <v>233</v>
      </c>
    </row>
    <row r="56" customFormat="false" ht="15" hidden="false" customHeight="false" outlineLevel="0" collapsed="false">
      <c r="A56" s="42" t="n">
        <v>54</v>
      </c>
      <c r="B56" s="42" t="n">
        <v>2</v>
      </c>
      <c r="C56" s="42" t="s">
        <v>545</v>
      </c>
      <c r="D56" s="42" t="s">
        <v>460</v>
      </c>
      <c r="E56" s="43" t="n">
        <f aca="false">WORKDAY('Project Plan'!$B$3,40)</f>
        <v>45957</v>
      </c>
      <c r="F56" s="43" t="n">
        <f aca="false">WORKDAY(E56,0)</f>
        <v>45957</v>
      </c>
      <c r="G56" s="42" t="s">
        <v>236</v>
      </c>
      <c r="H56" s="42" t="s">
        <v>489</v>
      </c>
      <c r="I56" s="42"/>
    </row>
    <row r="57" customFormat="false" ht="15" hidden="false" customHeight="false" outlineLevel="0" collapsed="false">
      <c r="A57" s="40" t="n">
        <v>55</v>
      </c>
      <c r="B57" s="40" t="n">
        <v>2</v>
      </c>
      <c r="C57" s="40" t="s">
        <v>546</v>
      </c>
      <c r="D57" s="40" t="s">
        <v>467</v>
      </c>
      <c r="E57" s="41" t="n">
        <f aca="false">WORKDAY('Project Plan'!$B$3,40)</f>
        <v>45957</v>
      </c>
      <c r="F57" s="41" t="n">
        <f aca="false">WORKDAY(E57,2)</f>
        <v>45959</v>
      </c>
      <c r="G57" s="40" t="s">
        <v>239</v>
      </c>
      <c r="H57" s="40" t="s">
        <v>528</v>
      </c>
      <c r="I57" s="40" t="s">
        <v>240</v>
      </c>
    </row>
    <row r="58" customFormat="false" ht="15" hidden="false" customHeight="false" outlineLevel="0" collapsed="false">
      <c r="A58" s="42" t="n">
        <v>56</v>
      </c>
      <c r="B58" s="42" t="n">
        <v>2</v>
      </c>
      <c r="C58" s="42" t="s">
        <v>547</v>
      </c>
      <c r="D58" s="42" t="s">
        <v>470</v>
      </c>
      <c r="E58" s="43" t="n">
        <f aca="false">WORKDAY('Project Plan'!$B$3,43)</f>
        <v>45960</v>
      </c>
      <c r="F58" s="43" t="n">
        <f aca="false">WORKDAY(E58,1)</f>
        <v>45961</v>
      </c>
      <c r="G58" s="42" t="s">
        <v>243</v>
      </c>
      <c r="H58" s="42" t="s">
        <v>548</v>
      </c>
      <c r="I58" s="42" t="s">
        <v>244</v>
      </c>
    </row>
    <row r="59" customFormat="false" ht="15" hidden="false" customHeight="false" outlineLevel="0" collapsed="false">
      <c r="A59" s="40" t="n">
        <v>57</v>
      </c>
      <c r="B59" s="40" t="n">
        <v>2</v>
      </c>
      <c r="C59" s="40" t="s">
        <v>549</v>
      </c>
      <c r="D59" s="40" t="s">
        <v>467</v>
      </c>
      <c r="E59" s="41" t="n">
        <f aca="false">WORKDAY('Project Plan'!$B$3,40)</f>
        <v>45957</v>
      </c>
      <c r="F59" s="41" t="n">
        <f aca="false">WORKDAY(E59,2)</f>
        <v>45959</v>
      </c>
      <c r="G59" s="40" t="s">
        <v>247</v>
      </c>
      <c r="H59" s="40" t="s">
        <v>550</v>
      </c>
      <c r="I59" s="40" t="s">
        <v>248</v>
      </c>
    </row>
    <row r="60" customFormat="false" ht="15" hidden="false" customHeight="false" outlineLevel="0" collapsed="false">
      <c r="A60" s="42" t="n">
        <v>58</v>
      </c>
      <c r="B60" s="42" t="n">
        <v>2</v>
      </c>
      <c r="C60" s="42" t="s">
        <v>551</v>
      </c>
      <c r="D60" s="42" t="s">
        <v>467</v>
      </c>
      <c r="E60" s="43" t="n">
        <f aca="false">WORKDAY('Project Plan'!$B$3,43)</f>
        <v>45960</v>
      </c>
      <c r="F60" s="43" t="n">
        <f aca="false">WORKDAY(E60,2)</f>
        <v>45964</v>
      </c>
      <c r="G60" s="42" t="s">
        <v>251</v>
      </c>
      <c r="H60" s="42" t="s">
        <v>550</v>
      </c>
      <c r="I60" s="42"/>
    </row>
    <row r="61" customFormat="false" ht="15" hidden="false" customHeight="false" outlineLevel="0" collapsed="false">
      <c r="A61" s="40" t="n">
        <v>59</v>
      </c>
      <c r="B61" s="40" t="n">
        <v>2</v>
      </c>
      <c r="C61" s="40" t="s">
        <v>552</v>
      </c>
      <c r="D61" s="40" t="s">
        <v>470</v>
      </c>
      <c r="E61" s="41" t="n">
        <f aca="false">WORKDAY('Project Plan'!$B$3,44)</f>
        <v>45961</v>
      </c>
      <c r="F61" s="41" t="n">
        <f aca="false">WORKDAY(E61,1)</f>
        <v>45964</v>
      </c>
      <c r="G61" s="40" t="s">
        <v>251</v>
      </c>
      <c r="H61" s="40" t="s">
        <v>553</v>
      </c>
      <c r="I61" s="40" t="s">
        <v>254</v>
      </c>
    </row>
    <row r="62" customFormat="false" ht="15" hidden="false" customHeight="false" outlineLevel="0" collapsed="false">
      <c r="A62" s="42" t="n">
        <v>60</v>
      </c>
      <c r="B62" s="42" t="n">
        <v>2</v>
      </c>
      <c r="C62" s="42" t="s">
        <v>554</v>
      </c>
      <c r="D62" s="42" t="s">
        <v>467</v>
      </c>
      <c r="E62" s="43" t="n">
        <f aca="false">WORKDAY('Project Plan'!$B$3,42)</f>
        <v>45959</v>
      </c>
      <c r="F62" s="43" t="n">
        <f aca="false">WORKDAY(E62,2)</f>
        <v>45961</v>
      </c>
      <c r="G62" s="42" t="s">
        <v>239</v>
      </c>
      <c r="H62" s="42" t="s">
        <v>555</v>
      </c>
      <c r="I62" s="42" t="s">
        <v>258</v>
      </c>
    </row>
    <row r="63" customFormat="false" ht="15" hidden="false" customHeight="false" outlineLevel="0" collapsed="false">
      <c r="A63" s="40" t="n">
        <v>61</v>
      </c>
      <c r="B63" s="40" t="n">
        <v>2</v>
      </c>
      <c r="C63" s="40" t="s">
        <v>556</v>
      </c>
      <c r="D63" s="40" t="s">
        <v>460</v>
      </c>
      <c r="E63" s="41" t="n">
        <f aca="false">WORKDAY('Project Plan'!$B$3,48)</f>
        <v>45967</v>
      </c>
      <c r="F63" s="41" t="n">
        <f aca="false">WORKDAY(E63,0)</f>
        <v>45967</v>
      </c>
      <c r="G63" s="40" t="s">
        <v>261</v>
      </c>
      <c r="H63" s="40" t="s">
        <v>557</v>
      </c>
      <c r="I63" s="40"/>
    </row>
    <row r="64" customFormat="false" ht="15" hidden="false" customHeight="false" outlineLevel="0" collapsed="false">
      <c r="A64" s="42" t="n">
        <v>62</v>
      </c>
      <c r="B64" s="42" t="n">
        <v>2</v>
      </c>
      <c r="C64" s="42" t="s">
        <v>558</v>
      </c>
      <c r="D64" s="42" t="s">
        <v>460</v>
      </c>
      <c r="E64" s="43" t="n">
        <f aca="false">WORKDAY('Project Plan'!$B$3,49)</f>
        <v>45968</v>
      </c>
      <c r="F64" s="43" t="n">
        <f aca="false">WORKDAY(E64,0)</f>
        <v>45968</v>
      </c>
      <c r="G64" s="42" t="s">
        <v>264</v>
      </c>
      <c r="H64" s="42" t="s">
        <v>543</v>
      </c>
      <c r="I64" s="42"/>
    </row>
    <row r="65" customFormat="false" ht="15" hidden="false" customHeight="false" outlineLevel="0" collapsed="false">
      <c r="A65" s="40" t="n">
        <v>63</v>
      </c>
      <c r="B65" s="40" t="n">
        <v>0</v>
      </c>
      <c r="C65" s="40" t="s">
        <v>266</v>
      </c>
      <c r="D65" s="40" t="s">
        <v>486</v>
      </c>
      <c r="E65" s="41" t="n">
        <f aca="false">WORKDAY('Project Plan'!$B$3,49)</f>
        <v>45968</v>
      </c>
      <c r="F65" s="41" t="n">
        <f aca="false">WORKDAY(E65,0)</f>
        <v>45968</v>
      </c>
      <c r="G65" s="40" t="s">
        <v>267</v>
      </c>
      <c r="H65" s="40"/>
      <c r="I65" s="40"/>
    </row>
    <row r="66" customFormat="false" ht="15" hidden="false" customHeight="false" outlineLevel="0" collapsed="false">
      <c r="A66" s="42" t="n">
        <v>64</v>
      </c>
      <c r="B66" s="42" t="n">
        <v>1</v>
      </c>
      <c r="C66" s="42" t="s">
        <v>271</v>
      </c>
      <c r="D66" s="42" t="s">
        <v>457</v>
      </c>
      <c r="E66" s="43" t="n">
        <f aca="false">WORKDAY('Project Plan'!$B$3,50)</f>
        <v>45971</v>
      </c>
      <c r="F66" s="43" t="n">
        <f aca="false">WORKDAY(E66,9)</f>
        <v>45982</v>
      </c>
      <c r="G66" s="42"/>
      <c r="H66" s="42" t="s">
        <v>559</v>
      </c>
      <c r="I66" s="42" t="s">
        <v>273</v>
      </c>
    </row>
    <row r="67" customFormat="false" ht="15" hidden="false" customHeight="false" outlineLevel="0" collapsed="false">
      <c r="A67" s="40" t="n">
        <v>65</v>
      </c>
      <c r="B67" s="40" t="n">
        <v>2</v>
      </c>
      <c r="C67" s="40" t="s">
        <v>560</v>
      </c>
      <c r="D67" s="40" t="s">
        <v>460</v>
      </c>
      <c r="E67" s="41" t="n">
        <f aca="false">WORKDAY('Project Plan'!$B$3,50)</f>
        <v>45971</v>
      </c>
      <c r="F67" s="41" t="n">
        <f aca="false">WORKDAY(E67,0)</f>
        <v>45971</v>
      </c>
      <c r="G67" s="40" t="s">
        <v>276</v>
      </c>
      <c r="H67" s="40" t="s">
        <v>489</v>
      </c>
      <c r="I67" s="40"/>
    </row>
    <row r="68" customFormat="false" ht="15" hidden="false" customHeight="false" outlineLevel="0" collapsed="false">
      <c r="A68" s="42" t="n">
        <v>66</v>
      </c>
      <c r="B68" s="42" t="n">
        <v>2</v>
      </c>
      <c r="C68" s="42" t="s">
        <v>561</v>
      </c>
      <c r="D68" s="42" t="s">
        <v>467</v>
      </c>
      <c r="E68" s="43" t="n">
        <f aca="false">WORKDAY('Project Plan'!$B$3,50)</f>
        <v>45971</v>
      </c>
      <c r="F68" s="43" t="n">
        <f aca="false">WORKDAY(E68,2)</f>
        <v>45973</v>
      </c>
      <c r="G68" s="42" t="s">
        <v>279</v>
      </c>
      <c r="H68" s="42" t="s">
        <v>555</v>
      </c>
      <c r="I68" s="42" t="s">
        <v>280</v>
      </c>
    </row>
    <row r="69" customFormat="false" ht="15" hidden="false" customHeight="false" outlineLevel="0" collapsed="false">
      <c r="A69" s="40" t="n">
        <v>67</v>
      </c>
      <c r="B69" s="40" t="n">
        <v>2</v>
      </c>
      <c r="C69" s="40" t="s">
        <v>562</v>
      </c>
      <c r="D69" s="40" t="s">
        <v>470</v>
      </c>
      <c r="E69" s="41" t="n">
        <f aca="false">WORKDAY('Project Plan'!$B$3,50)</f>
        <v>45971</v>
      </c>
      <c r="F69" s="41" t="n">
        <f aca="false">WORKDAY(E69,1)</f>
        <v>45972</v>
      </c>
      <c r="G69" s="40" t="s">
        <v>283</v>
      </c>
      <c r="H69" s="40" t="s">
        <v>563</v>
      </c>
      <c r="I69" s="40" t="s">
        <v>285</v>
      </c>
    </row>
    <row r="70" customFormat="false" ht="15" hidden="false" customHeight="false" outlineLevel="0" collapsed="false">
      <c r="A70" s="42" t="n">
        <v>68</v>
      </c>
      <c r="B70" s="42" t="n">
        <v>2</v>
      </c>
      <c r="C70" s="42" t="s">
        <v>564</v>
      </c>
      <c r="D70" s="42" t="s">
        <v>460</v>
      </c>
      <c r="E70" s="43" t="n">
        <f aca="false">WORKDAY('Project Plan'!$B$3,50)</f>
        <v>45971</v>
      </c>
      <c r="F70" s="43" t="n">
        <f aca="false">WORKDAY(E70,0)</f>
        <v>45971</v>
      </c>
      <c r="G70" s="42" t="s">
        <v>283</v>
      </c>
      <c r="H70" s="42" t="s">
        <v>565</v>
      </c>
      <c r="I70" s="42" t="s">
        <v>288</v>
      </c>
    </row>
    <row r="71" customFormat="false" ht="15" hidden="false" customHeight="false" outlineLevel="0" collapsed="false">
      <c r="A71" s="40" t="n">
        <v>69</v>
      </c>
      <c r="B71" s="40" t="n">
        <v>2</v>
      </c>
      <c r="C71" s="40" t="s">
        <v>566</v>
      </c>
      <c r="D71" s="40" t="s">
        <v>467</v>
      </c>
      <c r="E71" s="41" t="n">
        <f aca="false">WORKDAY('Project Plan'!$B$3,51)</f>
        <v>45972</v>
      </c>
      <c r="F71" s="41" t="n">
        <f aca="false">WORKDAY(E71,2)</f>
        <v>45974</v>
      </c>
      <c r="G71" s="40" t="s">
        <v>291</v>
      </c>
      <c r="H71" s="40" t="s">
        <v>539</v>
      </c>
      <c r="I71" s="40" t="s">
        <v>292</v>
      </c>
    </row>
    <row r="72" customFormat="false" ht="15" hidden="false" customHeight="false" outlineLevel="0" collapsed="false">
      <c r="A72" s="42" t="n">
        <v>70</v>
      </c>
      <c r="B72" s="42" t="n">
        <v>2</v>
      </c>
      <c r="C72" s="42" t="s">
        <v>567</v>
      </c>
      <c r="D72" s="42" t="s">
        <v>470</v>
      </c>
      <c r="E72" s="43" t="n">
        <f aca="false">WORKDAY('Project Plan'!$B$3,53)</f>
        <v>45974</v>
      </c>
      <c r="F72" s="43" t="n">
        <f aca="false">WORKDAY(E72,1)</f>
        <v>45975</v>
      </c>
      <c r="G72" s="42" t="s">
        <v>283</v>
      </c>
      <c r="H72" s="42" t="s">
        <v>468</v>
      </c>
      <c r="I72" s="42" t="s">
        <v>295</v>
      </c>
    </row>
    <row r="73" customFormat="false" ht="15" hidden="false" customHeight="false" outlineLevel="0" collapsed="false">
      <c r="A73" s="40" t="n">
        <v>71</v>
      </c>
      <c r="B73" s="40" t="n">
        <v>2</v>
      </c>
      <c r="C73" s="40" t="s">
        <v>568</v>
      </c>
      <c r="D73" s="40" t="s">
        <v>460</v>
      </c>
      <c r="E73" s="41" t="n">
        <f aca="false">WORKDAY('Project Plan'!$B$3,50)</f>
        <v>45971</v>
      </c>
      <c r="F73" s="41" t="n">
        <f aca="false">WORKDAY(E73,0)</f>
        <v>45971</v>
      </c>
      <c r="G73" s="40" t="s">
        <v>283</v>
      </c>
      <c r="H73" s="40" t="s">
        <v>569</v>
      </c>
      <c r="I73" s="40" t="s">
        <v>299</v>
      </c>
    </row>
    <row r="74" customFormat="false" ht="15" hidden="false" customHeight="false" outlineLevel="0" collapsed="false">
      <c r="A74" s="42" t="n">
        <v>72</v>
      </c>
      <c r="B74" s="42" t="n">
        <v>2</v>
      </c>
      <c r="C74" s="42" t="s">
        <v>570</v>
      </c>
      <c r="D74" s="42" t="s">
        <v>467</v>
      </c>
      <c r="E74" s="43" t="n">
        <f aca="false">WORKDAY('Project Plan'!$B$3,51)</f>
        <v>45972</v>
      </c>
      <c r="F74" s="43" t="n">
        <f aca="false">WORKDAY(E74,2)</f>
        <v>45974</v>
      </c>
      <c r="G74" s="42" t="s">
        <v>302</v>
      </c>
      <c r="H74" s="42" t="s">
        <v>571</v>
      </c>
      <c r="I74" s="42" t="s">
        <v>303</v>
      </c>
    </row>
    <row r="75" customFormat="false" ht="15" hidden="false" customHeight="false" outlineLevel="0" collapsed="false">
      <c r="A75" s="40" t="n">
        <v>73</v>
      </c>
      <c r="B75" s="40" t="n">
        <v>2</v>
      </c>
      <c r="C75" s="40" t="s">
        <v>572</v>
      </c>
      <c r="D75" s="40" t="s">
        <v>460</v>
      </c>
      <c r="E75" s="41" t="n">
        <f aca="false">WORKDAY('Project Plan'!$B$3,58)</f>
        <v>45981</v>
      </c>
      <c r="F75" s="41" t="n">
        <f aca="false">WORKDAY(E75,0)</f>
        <v>45981</v>
      </c>
      <c r="G75" s="40" t="s">
        <v>306</v>
      </c>
      <c r="H75" s="40" t="s">
        <v>573</v>
      </c>
      <c r="I75" s="40" t="s">
        <v>308</v>
      </c>
    </row>
    <row r="76" customFormat="false" ht="15" hidden="false" customHeight="false" outlineLevel="0" collapsed="false">
      <c r="A76" s="42" t="n">
        <v>74</v>
      </c>
      <c r="B76" s="42" t="n">
        <v>2</v>
      </c>
      <c r="C76" s="42" t="s">
        <v>574</v>
      </c>
      <c r="D76" s="42" t="s">
        <v>460</v>
      </c>
      <c r="E76" s="43" t="n">
        <f aca="false">WORKDAY('Project Plan'!$B$3,59)</f>
        <v>45982</v>
      </c>
      <c r="F76" s="43" t="n">
        <f aca="false">WORKDAY(E76,0)</f>
        <v>45982</v>
      </c>
      <c r="G76" s="42" t="s">
        <v>311</v>
      </c>
      <c r="H76" s="42" t="s">
        <v>543</v>
      </c>
      <c r="I76" s="42"/>
    </row>
    <row r="77" customFormat="false" ht="15" hidden="false" customHeight="false" outlineLevel="0" collapsed="false">
      <c r="A77" s="40" t="n">
        <v>75</v>
      </c>
      <c r="B77" s="40" t="n">
        <v>0</v>
      </c>
      <c r="C77" s="40" t="s">
        <v>313</v>
      </c>
      <c r="D77" s="40" t="s">
        <v>486</v>
      </c>
      <c r="E77" s="41" t="n">
        <f aca="false">WORKDAY('Project Plan'!$B$3,59)</f>
        <v>45982</v>
      </c>
      <c r="F77" s="41" t="n">
        <f aca="false">WORKDAY(E77,0)</f>
        <v>45982</v>
      </c>
      <c r="G77" s="40" t="s">
        <v>314</v>
      </c>
      <c r="H77" s="40"/>
      <c r="I77" s="40"/>
    </row>
    <row r="78" customFormat="false" ht="15" hidden="false" customHeight="false" outlineLevel="0" collapsed="false">
      <c r="A78" s="42" t="n">
        <v>76</v>
      </c>
      <c r="B78" s="42" t="n">
        <v>1</v>
      </c>
      <c r="C78" s="42" t="s">
        <v>317</v>
      </c>
      <c r="D78" s="42" t="s">
        <v>457</v>
      </c>
      <c r="E78" s="43" t="n">
        <f aca="false">WORKDAY('Project Plan'!$B$3,60)</f>
        <v>45985</v>
      </c>
      <c r="F78" s="43" t="n">
        <f aca="false">WORKDAY(E78,9)</f>
        <v>45996</v>
      </c>
      <c r="G78" s="42"/>
      <c r="H78" s="42" t="s">
        <v>575</v>
      </c>
      <c r="I78" s="42" t="s">
        <v>319</v>
      </c>
    </row>
    <row r="79" customFormat="false" ht="15" hidden="false" customHeight="false" outlineLevel="0" collapsed="false">
      <c r="A79" s="40" t="n">
        <v>77</v>
      </c>
      <c r="B79" s="40" t="n">
        <v>2</v>
      </c>
      <c r="C79" s="40" t="s">
        <v>576</v>
      </c>
      <c r="D79" s="40" t="s">
        <v>460</v>
      </c>
      <c r="E79" s="41" t="n">
        <f aca="false">WORKDAY('Project Plan'!$B$3,60)</f>
        <v>45985</v>
      </c>
      <c r="F79" s="41" t="n">
        <f aca="false">WORKDAY(E79,0)</f>
        <v>45985</v>
      </c>
      <c r="G79" s="40" t="s">
        <v>322</v>
      </c>
      <c r="H79" s="40" t="s">
        <v>489</v>
      </c>
      <c r="I79" s="40"/>
    </row>
    <row r="80" customFormat="false" ht="15" hidden="false" customHeight="false" outlineLevel="0" collapsed="false">
      <c r="A80" s="42" t="n">
        <v>78</v>
      </c>
      <c r="B80" s="42" t="n">
        <v>2</v>
      </c>
      <c r="C80" s="42" t="s">
        <v>577</v>
      </c>
      <c r="D80" s="42" t="s">
        <v>467</v>
      </c>
      <c r="E80" s="43" t="n">
        <f aca="false">WORKDAY('Project Plan'!$B$3,60)</f>
        <v>45985</v>
      </c>
      <c r="F80" s="43" t="n">
        <f aca="false">WORKDAY(E80,2)</f>
        <v>45987</v>
      </c>
      <c r="G80" s="42" t="s">
        <v>325</v>
      </c>
      <c r="H80" s="42" t="s">
        <v>578</v>
      </c>
      <c r="I80" s="42" t="s">
        <v>327</v>
      </c>
    </row>
    <row r="81" customFormat="false" ht="15" hidden="false" customHeight="false" outlineLevel="0" collapsed="false">
      <c r="A81" s="40" t="n">
        <v>79</v>
      </c>
      <c r="B81" s="40" t="n">
        <v>2</v>
      </c>
      <c r="C81" s="40" t="s">
        <v>579</v>
      </c>
      <c r="D81" s="40" t="s">
        <v>467</v>
      </c>
      <c r="E81" s="41" t="n">
        <f aca="false">WORKDAY('Project Plan'!$B$3,63)</f>
        <v>45988</v>
      </c>
      <c r="F81" s="41" t="n">
        <f aca="false">WORKDAY(E81,2)</f>
        <v>45992</v>
      </c>
      <c r="G81" s="40" t="s">
        <v>330</v>
      </c>
      <c r="H81" s="40" t="s">
        <v>580</v>
      </c>
      <c r="I81" s="40" t="s">
        <v>331</v>
      </c>
    </row>
    <row r="82" customFormat="false" ht="15" hidden="false" customHeight="false" outlineLevel="0" collapsed="false">
      <c r="A82" s="42" t="n">
        <v>80</v>
      </c>
      <c r="B82" s="42" t="n">
        <v>2</v>
      </c>
      <c r="C82" s="42" t="s">
        <v>581</v>
      </c>
      <c r="D82" s="42" t="s">
        <v>512</v>
      </c>
      <c r="E82" s="43" t="n">
        <f aca="false">WORKDAY('Project Plan'!$B$3,60)</f>
        <v>45985</v>
      </c>
      <c r="F82" s="43" t="n">
        <f aca="false">WORKDAY(E82,3)</f>
        <v>45988</v>
      </c>
      <c r="G82" s="42" t="s">
        <v>334</v>
      </c>
      <c r="H82" s="42" t="s">
        <v>550</v>
      </c>
      <c r="I82" s="42" t="s">
        <v>335</v>
      </c>
    </row>
    <row r="83" customFormat="false" ht="15" hidden="false" customHeight="false" outlineLevel="0" collapsed="false">
      <c r="A83" s="40" t="n">
        <v>81</v>
      </c>
      <c r="B83" s="40" t="n">
        <v>2</v>
      </c>
      <c r="C83" s="40" t="s">
        <v>582</v>
      </c>
      <c r="D83" s="40" t="s">
        <v>512</v>
      </c>
      <c r="E83" s="41" t="n">
        <f aca="false">WORKDAY('Project Plan'!$B$3,60)</f>
        <v>45985</v>
      </c>
      <c r="F83" s="41" t="n">
        <f aca="false">WORKDAY(E83,3)</f>
        <v>45988</v>
      </c>
      <c r="G83" s="40" t="s">
        <v>338</v>
      </c>
      <c r="H83" s="40" t="s">
        <v>471</v>
      </c>
      <c r="I83" s="40" t="s">
        <v>339</v>
      </c>
    </row>
    <row r="84" customFormat="false" ht="15" hidden="false" customHeight="false" outlineLevel="0" collapsed="false">
      <c r="A84" s="42" t="n">
        <v>82</v>
      </c>
      <c r="B84" s="42" t="n">
        <v>2</v>
      </c>
      <c r="C84" s="42" t="s">
        <v>583</v>
      </c>
      <c r="D84" s="42" t="s">
        <v>467</v>
      </c>
      <c r="E84" s="43" t="n">
        <f aca="false">WORKDAY('Project Plan'!$B$3,64)</f>
        <v>45989</v>
      </c>
      <c r="F84" s="43" t="n">
        <f aca="false">WORKDAY(E84,2)</f>
        <v>45993</v>
      </c>
      <c r="G84" s="42" t="s">
        <v>342</v>
      </c>
      <c r="H84" s="42" t="s">
        <v>468</v>
      </c>
      <c r="I84" s="42" t="s">
        <v>343</v>
      </c>
    </row>
    <row r="85" customFormat="false" ht="15" hidden="false" customHeight="false" outlineLevel="0" collapsed="false">
      <c r="A85" s="40" t="n">
        <v>83</v>
      </c>
      <c r="B85" s="40" t="n">
        <v>2</v>
      </c>
      <c r="C85" s="40" t="s">
        <v>584</v>
      </c>
      <c r="D85" s="40" t="s">
        <v>460</v>
      </c>
      <c r="E85" s="41" t="n">
        <f aca="false">WORKDAY('Project Plan'!$B$3,68)</f>
        <v>45995</v>
      </c>
      <c r="F85" s="41" t="n">
        <f aca="false">WORKDAY(E85,0)</f>
        <v>45995</v>
      </c>
      <c r="G85" s="40" t="s">
        <v>346</v>
      </c>
      <c r="H85" s="40" t="s">
        <v>585</v>
      </c>
      <c r="I85" s="40" t="s">
        <v>347</v>
      </c>
    </row>
    <row r="86" customFormat="false" ht="15" hidden="false" customHeight="false" outlineLevel="0" collapsed="false">
      <c r="A86" s="42" t="n">
        <v>84</v>
      </c>
      <c r="B86" s="42" t="n">
        <v>2</v>
      </c>
      <c r="C86" s="42" t="s">
        <v>586</v>
      </c>
      <c r="D86" s="42" t="s">
        <v>460</v>
      </c>
      <c r="E86" s="43" t="n">
        <f aca="false">WORKDAY('Project Plan'!$B$3,69)</f>
        <v>45996</v>
      </c>
      <c r="F86" s="43" t="n">
        <f aca="false">WORKDAY(E86,0)</f>
        <v>45996</v>
      </c>
      <c r="G86" s="42" t="s">
        <v>350</v>
      </c>
      <c r="H86" s="42" t="s">
        <v>507</v>
      </c>
      <c r="I86" s="42"/>
    </row>
    <row r="87" customFormat="false" ht="15" hidden="false" customHeight="false" outlineLevel="0" collapsed="false">
      <c r="A87" s="40" t="n">
        <v>85</v>
      </c>
      <c r="B87" s="40" t="n">
        <v>0</v>
      </c>
      <c r="C87" s="40" t="s">
        <v>352</v>
      </c>
      <c r="D87" s="40" t="s">
        <v>486</v>
      </c>
      <c r="E87" s="41" t="n">
        <f aca="false">WORKDAY('Project Plan'!$B$3,69)</f>
        <v>45996</v>
      </c>
      <c r="F87" s="41" t="n">
        <f aca="false">WORKDAY(E87,0)</f>
        <v>45996</v>
      </c>
      <c r="G87" s="40" t="s">
        <v>353</v>
      </c>
      <c r="H87" s="40"/>
      <c r="I87" s="40"/>
    </row>
    <row r="88" customFormat="false" ht="15" hidden="false" customHeight="false" outlineLevel="0" collapsed="false">
      <c r="A88" s="42" t="n">
        <v>86</v>
      </c>
      <c r="B88" s="42" t="n">
        <v>1</v>
      </c>
      <c r="C88" s="42" t="s">
        <v>355</v>
      </c>
      <c r="D88" s="42" t="s">
        <v>457</v>
      </c>
      <c r="E88" s="43" t="n">
        <f aca="false">WORKDAY('Project Plan'!$B$3,70)</f>
        <v>45999</v>
      </c>
      <c r="F88" s="43" t="n">
        <f aca="false">WORKDAY(E88,9)</f>
        <v>46010</v>
      </c>
      <c r="G88" s="42"/>
      <c r="H88" s="42" t="s">
        <v>587</v>
      </c>
      <c r="I88" s="42" t="s">
        <v>358</v>
      </c>
    </row>
    <row r="89" customFormat="false" ht="15" hidden="false" customHeight="false" outlineLevel="0" collapsed="false">
      <c r="A89" s="40" t="n">
        <v>87</v>
      </c>
      <c r="B89" s="40" t="n">
        <v>2</v>
      </c>
      <c r="C89" s="40" t="s">
        <v>588</v>
      </c>
      <c r="D89" s="40" t="s">
        <v>460</v>
      </c>
      <c r="E89" s="41" t="n">
        <f aca="false">WORKDAY('Project Plan'!$B$3,70)</f>
        <v>45999</v>
      </c>
      <c r="F89" s="41" t="n">
        <f aca="false">WORKDAY(E89,0)</f>
        <v>45999</v>
      </c>
      <c r="G89" s="40" t="s">
        <v>361</v>
      </c>
      <c r="H89" s="40" t="s">
        <v>589</v>
      </c>
      <c r="I89" s="40" t="s">
        <v>362</v>
      </c>
    </row>
    <row r="90" customFormat="false" ht="15" hidden="false" customHeight="false" outlineLevel="0" collapsed="false">
      <c r="A90" s="42" t="n">
        <v>88</v>
      </c>
      <c r="B90" s="42" t="n">
        <v>2</v>
      </c>
      <c r="C90" s="42" t="s">
        <v>590</v>
      </c>
      <c r="D90" s="42" t="s">
        <v>460</v>
      </c>
      <c r="E90" s="43" t="n">
        <f aca="false">WORKDAY('Project Plan'!$B$3,70)</f>
        <v>45999</v>
      </c>
      <c r="F90" s="43" t="n">
        <f aca="false">WORKDAY(E90,0)</f>
        <v>45999</v>
      </c>
      <c r="G90" s="42" t="s">
        <v>361</v>
      </c>
      <c r="H90" s="42" t="s">
        <v>591</v>
      </c>
      <c r="I90" s="42" t="s">
        <v>366</v>
      </c>
    </row>
    <row r="91" customFormat="false" ht="15" hidden="false" customHeight="false" outlineLevel="0" collapsed="false">
      <c r="A91" s="40" t="n">
        <v>89</v>
      </c>
      <c r="B91" s="40" t="n">
        <v>2</v>
      </c>
      <c r="C91" s="40" t="s">
        <v>592</v>
      </c>
      <c r="D91" s="40" t="s">
        <v>467</v>
      </c>
      <c r="E91" s="41" t="n">
        <f aca="false">WORKDAY('Project Plan'!$B$3,71)</f>
        <v>46000</v>
      </c>
      <c r="F91" s="41" t="n">
        <f aca="false">WORKDAY(E91,2)</f>
        <v>46002</v>
      </c>
      <c r="G91" s="40" t="s">
        <v>369</v>
      </c>
      <c r="H91" s="40" t="s">
        <v>593</v>
      </c>
      <c r="I91" s="40" t="s">
        <v>371</v>
      </c>
    </row>
    <row r="92" customFormat="false" ht="15" hidden="false" customHeight="false" outlineLevel="0" collapsed="false">
      <c r="A92" s="42" t="n">
        <v>90</v>
      </c>
      <c r="B92" s="42" t="n">
        <v>2</v>
      </c>
      <c r="C92" s="42" t="s">
        <v>594</v>
      </c>
      <c r="D92" s="42" t="s">
        <v>467</v>
      </c>
      <c r="E92" s="43" t="n">
        <f aca="false">WORKDAY('Project Plan'!$B$3,71)</f>
        <v>46000</v>
      </c>
      <c r="F92" s="43" t="n">
        <f aca="false">WORKDAY(E92,2)</f>
        <v>46002</v>
      </c>
      <c r="G92" s="42" t="s">
        <v>369</v>
      </c>
      <c r="H92" s="42" t="s">
        <v>595</v>
      </c>
      <c r="I92" s="42"/>
    </row>
    <row r="93" customFormat="false" ht="15" hidden="false" customHeight="false" outlineLevel="0" collapsed="false">
      <c r="A93" s="40" t="n">
        <v>91</v>
      </c>
      <c r="B93" s="40" t="n">
        <v>2</v>
      </c>
      <c r="C93" s="40" t="s">
        <v>596</v>
      </c>
      <c r="D93" s="40" t="s">
        <v>467</v>
      </c>
      <c r="E93" s="41" t="n">
        <f aca="false">WORKDAY('Project Plan'!$B$3,71)</f>
        <v>46000</v>
      </c>
      <c r="F93" s="41" t="n">
        <f aca="false">WORKDAY(E93,2)</f>
        <v>46002</v>
      </c>
      <c r="G93" s="40" t="s">
        <v>369</v>
      </c>
      <c r="H93" s="40" t="s">
        <v>597</v>
      </c>
      <c r="I93" s="40"/>
    </row>
    <row r="94" customFormat="false" ht="15" hidden="false" customHeight="false" outlineLevel="0" collapsed="false">
      <c r="A94" s="42" t="n">
        <v>92</v>
      </c>
      <c r="B94" s="42" t="n">
        <v>2</v>
      </c>
      <c r="C94" s="42" t="s">
        <v>598</v>
      </c>
      <c r="D94" s="42" t="s">
        <v>470</v>
      </c>
      <c r="E94" s="43" t="n">
        <f aca="false">WORKDAY('Project Plan'!$B$3,72)</f>
        <v>46001</v>
      </c>
      <c r="F94" s="43" t="n">
        <f aca="false">WORKDAY(E94,1)</f>
        <v>46002</v>
      </c>
      <c r="G94" s="42" t="s">
        <v>369</v>
      </c>
      <c r="H94" s="42" t="s">
        <v>599</v>
      </c>
      <c r="I94" s="42"/>
    </row>
    <row r="95" customFormat="false" ht="15" hidden="false" customHeight="false" outlineLevel="0" collapsed="false">
      <c r="A95" s="40" t="n">
        <v>93</v>
      </c>
      <c r="B95" s="40" t="n">
        <v>2</v>
      </c>
      <c r="C95" s="40" t="s">
        <v>600</v>
      </c>
      <c r="D95" s="40" t="s">
        <v>467</v>
      </c>
      <c r="E95" s="41" t="n">
        <f aca="false">WORKDAY('Project Plan'!$B$3,74)</f>
        <v>46003</v>
      </c>
      <c r="F95" s="41" t="n">
        <f aca="false">WORKDAY(E95,2)</f>
        <v>46007</v>
      </c>
      <c r="G95" s="40" t="s">
        <v>381</v>
      </c>
      <c r="H95" s="40" t="s">
        <v>601</v>
      </c>
      <c r="I95" s="40" t="s">
        <v>382</v>
      </c>
    </row>
    <row r="96" customFormat="false" ht="15" hidden="false" customHeight="false" outlineLevel="0" collapsed="false">
      <c r="A96" s="42" t="n">
        <v>94</v>
      </c>
      <c r="B96" s="42" t="n">
        <v>2</v>
      </c>
      <c r="C96" s="42" t="s">
        <v>602</v>
      </c>
      <c r="D96" s="42" t="s">
        <v>460</v>
      </c>
      <c r="E96" s="43" t="n">
        <f aca="false">WORKDAY('Project Plan'!$B$3,79)</f>
        <v>46010</v>
      </c>
      <c r="F96" s="43" t="n">
        <f aca="false">WORKDAY(E96,0)</f>
        <v>46010</v>
      </c>
      <c r="G96" s="42" t="s">
        <v>385</v>
      </c>
      <c r="H96" s="42" t="s">
        <v>603</v>
      </c>
      <c r="I96" s="42" t="s">
        <v>386</v>
      </c>
    </row>
    <row r="97" customFormat="false" ht="15" hidden="false" customHeight="false" outlineLevel="0" collapsed="false">
      <c r="A97" s="40" t="n">
        <v>95</v>
      </c>
      <c r="B97" s="40" t="n">
        <v>0</v>
      </c>
      <c r="C97" s="40" t="s">
        <v>388</v>
      </c>
      <c r="D97" s="40" t="s">
        <v>486</v>
      </c>
      <c r="E97" s="41" t="n">
        <f aca="false">WORKDAY('Project Plan'!$B$3,79)</f>
        <v>46010</v>
      </c>
      <c r="F97" s="41" t="n">
        <f aca="false">WORKDAY(E97,0)</f>
        <v>46010</v>
      </c>
      <c r="G97" s="40" t="s">
        <v>389</v>
      </c>
      <c r="H97" s="40"/>
      <c r="I97" s="40"/>
    </row>
    <row r="98" customFormat="false" ht="15" hidden="false" customHeight="false" outlineLevel="0" collapsed="false">
      <c r="A98" s="42" t="n">
        <v>96</v>
      </c>
      <c r="B98" s="42" t="n">
        <v>1</v>
      </c>
      <c r="C98" s="42" t="s">
        <v>392</v>
      </c>
      <c r="D98" s="42" t="s">
        <v>467</v>
      </c>
      <c r="E98" s="43" t="n">
        <f aca="false">WORKDAY('Project Plan'!$B$3,80)</f>
        <v>46013</v>
      </c>
      <c r="F98" s="43" t="n">
        <f aca="false">WORKDAY(E98,2)</f>
        <v>46015</v>
      </c>
      <c r="G98" s="42"/>
      <c r="H98" s="42" t="s">
        <v>604</v>
      </c>
      <c r="I98" s="42" t="s">
        <v>394</v>
      </c>
    </row>
    <row r="99" customFormat="false" ht="15" hidden="false" customHeight="false" outlineLevel="0" collapsed="false">
      <c r="A99" s="40" t="n">
        <v>97</v>
      </c>
      <c r="B99" s="40" t="n">
        <v>2</v>
      </c>
      <c r="C99" s="40" t="s">
        <v>605</v>
      </c>
      <c r="D99" s="40" t="s">
        <v>460</v>
      </c>
      <c r="E99" s="41" t="n">
        <f aca="false">WORKDAY('Project Plan'!$B$3,80)</f>
        <v>46013</v>
      </c>
      <c r="F99" s="41" t="n">
        <f aca="false">WORKDAY(E99,0)</f>
        <v>46013</v>
      </c>
      <c r="G99" s="40" t="s">
        <v>397</v>
      </c>
      <c r="H99" s="40" t="s">
        <v>465</v>
      </c>
      <c r="I99" s="40" t="s">
        <v>398</v>
      </c>
    </row>
    <row r="100" customFormat="false" ht="15" hidden="false" customHeight="false" outlineLevel="0" collapsed="false">
      <c r="A100" s="42" t="n">
        <v>98</v>
      </c>
      <c r="B100" s="42" t="n">
        <v>2</v>
      </c>
      <c r="C100" s="42" t="s">
        <v>606</v>
      </c>
      <c r="D100" s="42" t="s">
        <v>460</v>
      </c>
      <c r="E100" s="43" t="n">
        <f aca="false">WORKDAY('Project Plan'!$B$3,81)</f>
        <v>46014</v>
      </c>
      <c r="F100" s="43" t="n">
        <f aca="false">WORKDAY(E100,0)</f>
        <v>46014</v>
      </c>
      <c r="G100" s="42" t="s">
        <v>401</v>
      </c>
      <c r="H100" s="42" t="s">
        <v>607</v>
      </c>
      <c r="I100" s="42" t="s">
        <v>402</v>
      </c>
    </row>
    <row r="101" customFormat="false" ht="15" hidden="false" customHeight="false" outlineLevel="0" collapsed="false">
      <c r="A101" s="40" t="n">
        <v>99</v>
      </c>
      <c r="B101" s="40" t="n">
        <v>0</v>
      </c>
      <c r="C101" s="40" t="s">
        <v>404</v>
      </c>
      <c r="D101" s="40" t="s">
        <v>486</v>
      </c>
      <c r="E101" s="41" t="n">
        <f aca="false">WORKDAY('Project Plan'!$B$3,81)</f>
        <v>46014</v>
      </c>
      <c r="F101" s="41" t="n">
        <f aca="false">WORKDAY(E101,0)</f>
        <v>46014</v>
      </c>
      <c r="G101" s="40" t="s">
        <v>405</v>
      </c>
      <c r="H101" s="40"/>
      <c r="I101" s="40"/>
    </row>
    <row r="102" customFormat="false" ht="15" hidden="false" customHeight="false" outlineLevel="0" collapsed="false">
      <c r="A102" s="42" t="n">
        <v>100</v>
      </c>
      <c r="B102" s="42" t="n">
        <v>1</v>
      </c>
      <c r="C102" s="42" t="s">
        <v>408</v>
      </c>
      <c r="D102" s="42" t="s">
        <v>608</v>
      </c>
      <c r="E102" s="43" t="n">
        <f aca="false">WORKDAY('Project Plan'!$B$3,82)</f>
        <v>46015</v>
      </c>
      <c r="F102" s="43" t="n">
        <f aca="false">WORKDAY(E102,7)</f>
        <v>46024</v>
      </c>
      <c r="G102" s="42"/>
      <c r="H102" s="42" t="s">
        <v>609</v>
      </c>
      <c r="I102" s="42" t="s">
        <v>410</v>
      </c>
    </row>
    <row r="103" customFormat="false" ht="15" hidden="false" customHeight="false" outlineLevel="0" collapsed="false">
      <c r="A103" s="40" t="n">
        <v>101</v>
      </c>
      <c r="B103" s="40" t="n">
        <v>2</v>
      </c>
      <c r="C103" s="40" t="s">
        <v>610</v>
      </c>
      <c r="D103" s="40" t="s">
        <v>611</v>
      </c>
      <c r="E103" s="41" t="n">
        <f aca="false">WORKDAY('Project Plan'!$B$3,82)</f>
        <v>46015</v>
      </c>
      <c r="F103" s="41" t="n">
        <f aca="false">WORKDAY(E103,5)</f>
        <v>46022</v>
      </c>
      <c r="G103" s="40" t="s">
        <v>413</v>
      </c>
      <c r="H103" s="40" t="s">
        <v>612</v>
      </c>
      <c r="I103" s="40" t="s">
        <v>414</v>
      </c>
    </row>
    <row r="104" customFormat="false" ht="15" hidden="false" customHeight="false" outlineLevel="0" collapsed="false">
      <c r="A104" s="42" t="n">
        <v>102</v>
      </c>
      <c r="B104" s="42" t="n">
        <v>2</v>
      </c>
      <c r="C104" s="42" t="s">
        <v>613</v>
      </c>
      <c r="D104" s="42" t="s">
        <v>512</v>
      </c>
      <c r="E104" s="43" t="n">
        <f aca="false">WORKDAY('Project Plan'!$B$3,82)</f>
        <v>46015</v>
      </c>
      <c r="F104" s="43" t="n">
        <f aca="false">WORKDAY(E104,3)</f>
        <v>46020</v>
      </c>
      <c r="G104" s="42" t="s">
        <v>413</v>
      </c>
      <c r="H104" s="42" t="s">
        <v>614</v>
      </c>
      <c r="I104" s="42" t="s">
        <v>418</v>
      </c>
    </row>
    <row r="105" customFormat="false" ht="15" hidden="false" customHeight="false" outlineLevel="0" collapsed="false">
      <c r="A105" s="40" t="n">
        <v>103</v>
      </c>
      <c r="B105" s="40" t="n">
        <v>2</v>
      </c>
      <c r="C105" s="40" t="s">
        <v>615</v>
      </c>
      <c r="D105" s="40" t="s">
        <v>512</v>
      </c>
      <c r="E105" s="41" t="n">
        <f aca="false">WORKDAY('Project Plan'!$B$3,83)</f>
        <v>46016</v>
      </c>
      <c r="F105" s="41" t="n">
        <f aca="false">WORKDAY(E105,3)</f>
        <v>46021</v>
      </c>
      <c r="G105" s="40" t="s">
        <v>413</v>
      </c>
      <c r="H105" s="40" t="s">
        <v>616</v>
      </c>
      <c r="I105" s="40" t="s">
        <v>421</v>
      </c>
    </row>
    <row r="106" customFormat="false" ht="15" hidden="false" customHeight="false" outlineLevel="0" collapsed="false">
      <c r="A106" s="42" t="n">
        <v>104</v>
      </c>
      <c r="B106" s="42" t="n">
        <v>2</v>
      </c>
      <c r="C106" s="42" t="s">
        <v>617</v>
      </c>
      <c r="D106" s="42" t="s">
        <v>460</v>
      </c>
      <c r="E106" s="43" t="n">
        <f aca="false">WORKDAY('Project Plan'!$B$3,87)</f>
        <v>46022</v>
      </c>
      <c r="F106" s="43" t="n">
        <f aca="false">WORKDAY(E106,0)</f>
        <v>46022</v>
      </c>
      <c r="G106" s="42" t="s">
        <v>424</v>
      </c>
      <c r="H106" s="42" t="s">
        <v>603</v>
      </c>
      <c r="I106" s="42" t="s">
        <v>425</v>
      </c>
    </row>
    <row r="107" customFormat="false" ht="15" hidden="false" customHeight="false" outlineLevel="0" collapsed="false">
      <c r="A107" s="40" t="n">
        <v>105</v>
      </c>
      <c r="B107" s="40" t="n">
        <v>2</v>
      </c>
      <c r="C107" s="40" t="s">
        <v>618</v>
      </c>
      <c r="D107" s="40" t="s">
        <v>460</v>
      </c>
      <c r="E107" s="41" t="n">
        <f aca="false">WORKDAY('Project Plan'!$B$3,88)</f>
        <v>46023</v>
      </c>
      <c r="F107" s="41" t="n">
        <f aca="false">WORKDAY(E107,0)</f>
        <v>46023</v>
      </c>
      <c r="G107" s="40" t="s">
        <v>428</v>
      </c>
      <c r="H107" s="40" t="s">
        <v>619</v>
      </c>
      <c r="I107" s="40" t="s">
        <v>429</v>
      </c>
    </row>
    <row r="108" customFormat="false" ht="15" hidden="false" customHeight="false" outlineLevel="0" collapsed="false">
      <c r="A108" s="42" t="n">
        <v>106</v>
      </c>
      <c r="B108" s="42" t="n">
        <v>2</v>
      </c>
      <c r="C108" s="42" t="s">
        <v>620</v>
      </c>
      <c r="D108" s="42" t="s">
        <v>460</v>
      </c>
      <c r="E108" s="43" t="n">
        <f aca="false">WORKDAY('Project Plan'!$B$3,88)</f>
        <v>46023</v>
      </c>
      <c r="F108" s="43" t="n">
        <f aca="false">WORKDAY(E108,0)</f>
        <v>46023</v>
      </c>
      <c r="G108" s="42" t="s">
        <v>432</v>
      </c>
      <c r="H108" s="42" t="s">
        <v>621</v>
      </c>
      <c r="I108" s="42" t="s">
        <v>433</v>
      </c>
    </row>
    <row r="109" customFormat="false" ht="15" hidden="false" customHeight="false" outlineLevel="0" collapsed="false">
      <c r="A109" s="40" t="n">
        <v>107</v>
      </c>
      <c r="B109" s="40" t="n">
        <v>0</v>
      </c>
      <c r="C109" s="40" t="s">
        <v>435</v>
      </c>
      <c r="D109" s="40" t="s">
        <v>486</v>
      </c>
      <c r="E109" s="41" t="n">
        <f aca="false">WORKDAY('Project Plan'!$B$3,89)</f>
        <v>46024</v>
      </c>
      <c r="F109" s="41" t="n">
        <f aca="false">WORKDAY(E109,0)</f>
        <v>46024</v>
      </c>
      <c r="G109" s="40" t="s">
        <v>436</v>
      </c>
      <c r="H109" s="40"/>
      <c r="I109" s="40"/>
    </row>
    <row r="110" customFormat="false" ht="15" hidden="false" customHeight="false" outlineLevel="0" collapsed="false">
      <c r="A110" s="42" t="n">
        <v>108</v>
      </c>
      <c r="B110" s="42" t="n">
        <v>2</v>
      </c>
      <c r="C110" s="42" t="s">
        <v>622</v>
      </c>
      <c r="D110" s="42" t="s">
        <v>460</v>
      </c>
      <c r="E110" s="43" t="n">
        <f aca="false">WORKDAY('Project Plan'!$B$3,7)</f>
        <v>45910</v>
      </c>
      <c r="F110" s="43" t="n">
        <f aca="false">WORKDAY(E110,0)</f>
        <v>45910</v>
      </c>
      <c r="G110" s="42" t="s">
        <v>406</v>
      </c>
      <c r="H110" s="42" t="s">
        <v>477</v>
      </c>
      <c r="I110" s="42" t="s">
        <v>441</v>
      </c>
    </row>
    <row r="111" customFormat="false" ht="15" hidden="false" customHeight="false" outlineLevel="0" collapsed="false">
      <c r="A111" s="40" t="n">
        <v>109</v>
      </c>
      <c r="B111" s="40" t="n">
        <v>2</v>
      </c>
      <c r="C111" s="40" t="s">
        <v>623</v>
      </c>
      <c r="D111" s="40" t="s">
        <v>460</v>
      </c>
      <c r="E111" s="41" t="n">
        <f aca="false">WORKDAY('Project Plan'!$B$3,9)</f>
        <v>45912</v>
      </c>
      <c r="F111" s="41" t="n">
        <f aca="false">WORKDAY(E111,0)</f>
        <v>45912</v>
      </c>
      <c r="G111" s="40" t="s">
        <v>47</v>
      </c>
      <c r="H111" s="40" t="s">
        <v>463</v>
      </c>
      <c r="I111" s="40" t="s">
        <v>444</v>
      </c>
    </row>
    <row r="112" customFormat="false" ht="15" hidden="false" customHeight="false" outlineLevel="0" collapsed="false">
      <c r="A112" s="42" t="n">
        <v>110</v>
      </c>
      <c r="B112" s="42" t="n">
        <v>2</v>
      </c>
      <c r="C112" s="42" t="s">
        <v>624</v>
      </c>
      <c r="D112" s="42" t="s">
        <v>460</v>
      </c>
      <c r="E112" s="43" t="n">
        <f aca="false">WORKDAY('Project Plan'!$B$3,14)</f>
        <v>45919</v>
      </c>
      <c r="F112" s="43" t="n">
        <f aca="false">WORKDAY(E112,0)</f>
        <v>45919</v>
      </c>
      <c r="G112" s="42" t="s">
        <v>390</v>
      </c>
      <c r="H112" s="42" t="s">
        <v>625</v>
      </c>
      <c r="I112" s="42" t="s">
        <v>448</v>
      </c>
    </row>
  </sheetData>
  <mergeCells count="1">
    <mergeCell ref="A1:I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55"/>
    <col collapsed="false" customWidth="true" hidden="false" outlineLevel="0" max="3" min="3" style="0" width="10"/>
    <col collapsed="false" customWidth="true" hidden="false" outlineLevel="0" max="4" min="4" style="0" width="12"/>
    <col collapsed="false" customWidth="true" hidden="false" outlineLevel="0" max="6" min="5" style="0" width="16"/>
    <col collapsed="false" customWidth="true" hidden="false" outlineLevel="0" max="7" min="7" style="0" width="12"/>
    <col collapsed="false" customWidth="true" hidden="false" outlineLevel="0" max="8" min="8" style="0" width="14"/>
    <col collapsed="false" customWidth="true" hidden="false" outlineLevel="0" max="9" min="9" style="0" width="28"/>
    <col collapsed="false" customWidth="true" hidden="false" outlineLevel="0" max="10" min="10" style="0" width="50"/>
    <col collapsed="false" customWidth="true" hidden="false" outlineLevel="0" max="11" min="11" style="0" width="14"/>
  </cols>
  <sheetData>
    <row r="1" customFormat="false" ht="15" hidden="false" customHeight="false" outlineLevel="0" collapsed="false">
      <c r="A1" s="38" t="s">
        <v>626</v>
      </c>
      <c r="B1" s="38"/>
      <c r="C1" s="38"/>
      <c r="D1" s="38"/>
      <c r="E1" s="38"/>
      <c r="F1" s="38"/>
      <c r="G1" s="38"/>
      <c r="H1" s="38"/>
      <c r="I1" s="38"/>
      <c r="J1" s="38"/>
      <c r="K1" s="38"/>
    </row>
    <row r="2" customFormat="false" ht="15" hidden="false" customHeight="false" outlineLevel="0" collapsed="false">
      <c r="A2" s="44" t="s">
        <v>627</v>
      </c>
      <c r="B2" s="44" t="s">
        <v>628</v>
      </c>
      <c r="C2" s="44" t="s">
        <v>629</v>
      </c>
      <c r="D2" s="44" t="s">
        <v>630</v>
      </c>
      <c r="E2" s="44" t="s">
        <v>631</v>
      </c>
      <c r="F2" s="44" t="s">
        <v>632</v>
      </c>
      <c r="G2" s="44" t="s">
        <v>633</v>
      </c>
      <c r="H2" s="44" t="s">
        <v>634</v>
      </c>
      <c r="I2" s="44" t="s">
        <v>635</v>
      </c>
      <c r="J2" s="44" t="s">
        <v>636</v>
      </c>
      <c r="K2" s="44" t="s">
        <v>637</v>
      </c>
    </row>
    <row r="3" customFormat="false" ht="15" hidden="false" customHeight="false" outlineLevel="0" collapsed="false">
      <c r="A3" s="40" t="s">
        <v>638</v>
      </c>
      <c r="B3" s="40" t="s">
        <v>23</v>
      </c>
      <c r="C3" s="40"/>
      <c r="D3" s="40" t="s">
        <v>22</v>
      </c>
      <c r="E3" s="41" t="n">
        <f aca="false">WORKDAY('Project Plan'!$B$3,0)</f>
        <v>45901</v>
      </c>
      <c r="F3" s="41" t="n">
        <f aca="false">WORKDAY(E3,9)</f>
        <v>45912</v>
      </c>
      <c r="G3" s="40" t="n">
        <v>10</v>
      </c>
      <c r="H3" s="40" t="s">
        <v>639</v>
      </c>
      <c r="I3" s="40" t="s">
        <v>603</v>
      </c>
      <c r="J3" s="40" t="s">
        <v>28</v>
      </c>
      <c r="K3" s="40"/>
    </row>
    <row r="4" customFormat="false" ht="15" hidden="false" customHeight="false" outlineLevel="0" collapsed="false">
      <c r="A4" s="42" t="s">
        <v>640</v>
      </c>
      <c r="B4" s="42" t="s">
        <v>459</v>
      </c>
      <c r="C4" s="42" t="s">
        <v>638</v>
      </c>
      <c r="D4" s="42" t="s">
        <v>22</v>
      </c>
      <c r="E4" s="43" t="n">
        <f aca="false">WORKDAY('Project Plan'!$B$3,0)</f>
        <v>45901</v>
      </c>
      <c r="F4" s="43" t="n">
        <f aca="false">WORKDAY(E4,0)</f>
        <v>45901</v>
      </c>
      <c r="G4" s="42" t="n">
        <v>1</v>
      </c>
      <c r="H4" s="42" t="s">
        <v>639</v>
      </c>
      <c r="I4" s="42" t="s">
        <v>24</v>
      </c>
      <c r="J4" s="42" t="s">
        <v>32</v>
      </c>
      <c r="K4" s="42"/>
    </row>
    <row r="5" customFormat="false" ht="15" hidden="false" customHeight="false" outlineLevel="0" collapsed="false">
      <c r="A5" s="40" t="s">
        <v>641</v>
      </c>
      <c r="B5" s="40" t="s">
        <v>462</v>
      </c>
      <c r="C5" s="40" t="s">
        <v>638</v>
      </c>
      <c r="D5" s="40" t="s">
        <v>22</v>
      </c>
      <c r="E5" s="41" t="n">
        <f aca="false">WORKDAY('Project Plan'!$B$3,0)</f>
        <v>45901</v>
      </c>
      <c r="F5" s="41" t="n">
        <f aca="false">WORKDAY(E5,0)</f>
        <v>45901</v>
      </c>
      <c r="G5" s="40" t="n">
        <v>1</v>
      </c>
      <c r="H5" s="40" t="s">
        <v>639</v>
      </c>
      <c r="I5" s="40" t="s">
        <v>475</v>
      </c>
      <c r="J5" s="40" t="s">
        <v>37</v>
      </c>
      <c r="K5" s="40"/>
    </row>
    <row r="6" customFormat="false" ht="15" hidden="false" customHeight="false" outlineLevel="0" collapsed="false">
      <c r="A6" s="42" t="s">
        <v>642</v>
      </c>
      <c r="B6" s="42" t="s">
        <v>464</v>
      </c>
      <c r="C6" s="42" t="s">
        <v>638</v>
      </c>
      <c r="D6" s="42" t="s">
        <v>22</v>
      </c>
      <c r="E6" s="43" t="n">
        <f aca="false">WORKDAY('Project Plan'!$B$3,1)</f>
        <v>45902</v>
      </c>
      <c r="F6" s="43" t="n">
        <f aca="false">WORKDAY(E6,0)</f>
        <v>45902</v>
      </c>
      <c r="G6" s="42" t="n">
        <v>1</v>
      </c>
      <c r="H6" s="42" t="s">
        <v>639</v>
      </c>
      <c r="I6" s="42" t="s">
        <v>643</v>
      </c>
      <c r="J6" s="42" t="s">
        <v>44</v>
      </c>
      <c r="K6" s="42" t="s">
        <v>40</v>
      </c>
    </row>
    <row r="7" customFormat="false" ht="15" hidden="false" customHeight="false" outlineLevel="0" collapsed="false">
      <c r="A7" s="40" t="s">
        <v>644</v>
      </c>
      <c r="B7" s="40" t="s">
        <v>466</v>
      </c>
      <c r="C7" s="40" t="s">
        <v>638</v>
      </c>
      <c r="D7" s="40" t="s">
        <v>22</v>
      </c>
      <c r="E7" s="41" t="n">
        <f aca="false">WORKDAY('Project Plan'!$B$3,1)</f>
        <v>45902</v>
      </c>
      <c r="F7" s="41" t="n">
        <f aca="false">WORKDAY(E7,2)</f>
        <v>45904</v>
      </c>
      <c r="G7" s="40" t="n">
        <v>3</v>
      </c>
      <c r="H7" s="40" t="s">
        <v>639</v>
      </c>
      <c r="I7" s="40" t="s">
        <v>468</v>
      </c>
      <c r="J7" s="40" t="s">
        <v>49</v>
      </c>
      <c r="K7" s="40" t="s">
        <v>47</v>
      </c>
    </row>
    <row r="8" customFormat="false" ht="15" hidden="false" customHeight="false" outlineLevel="0" collapsed="false">
      <c r="A8" s="42" t="s">
        <v>645</v>
      </c>
      <c r="B8" s="42" t="s">
        <v>469</v>
      </c>
      <c r="C8" s="42" t="s">
        <v>638</v>
      </c>
      <c r="D8" s="42" t="s">
        <v>22</v>
      </c>
      <c r="E8" s="43" t="n">
        <f aca="false">WORKDAY('Project Plan'!$B$3,1)</f>
        <v>45902</v>
      </c>
      <c r="F8" s="43" t="n">
        <f aca="false">WORKDAY(E8,1)</f>
        <v>45903</v>
      </c>
      <c r="G8" s="42" t="n">
        <v>2</v>
      </c>
      <c r="H8" s="42" t="s">
        <v>639</v>
      </c>
      <c r="I8" s="42" t="s">
        <v>646</v>
      </c>
      <c r="J8" s="42" t="s">
        <v>54</v>
      </c>
      <c r="K8" s="42" t="s">
        <v>47</v>
      </c>
    </row>
    <row r="9" customFormat="false" ht="15" hidden="false" customHeight="false" outlineLevel="0" collapsed="false">
      <c r="A9" s="40" t="s">
        <v>647</v>
      </c>
      <c r="B9" s="40" t="s">
        <v>472</v>
      </c>
      <c r="C9" s="40" t="s">
        <v>638</v>
      </c>
      <c r="D9" s="40" t="s">
        <v>22</v>
      </c>
      <c r="E9" s="41" t="n">
        <f aca="false">WORKDAY('Project Plan'!$B$3,2)</f>
        <v>45903</v>
      </c>
      <c r="F9" s="41" t="n">
        <f aca="false">WORKDAY(E9,0)</f>
        <v>45903</v>
      </c>
      <c r="G9" s="40" t="n">
        <v>1</v>
      </c>
      <c r="H9" s="40" t="s">
        <v>639</v>
      </c>
      <c r="I9" s="40" t="s">
        <v>648</v>
      </c>
      <c r="J9" s="40" t="s">
        <v>58</v>
      </c>
      <c r="K9" s="40" t="s">
        <v>47</v>
      </c>
    </row>
    <row r="10" customFormat="false" ht="15" hidden="false" customHeight="false" outlineLevel="0" collapsed="false">
      <c r="A10" s="42" t="s">
        <v>649</v>
      </c>
      <c r="B10" s="42" t="s">
        <v>474</v>
      </c>
      <c r="C10" s="42" t="s">
        <v>638</v>
      </c>
      <c r="D10" s="42" t="s">
        <v>22</v>
      </c>
      <c r="E10" s="43" t="n">
        <f aca="false">WORKDAY('Project Plan'!$B$3,3)</f>
        <v>45904</v>
      </c>
      <c r="F10" s="43" t="n">
        <f aca="false">WORKDAY(E10,0)</f>
        <v>45904</v>
      </c>
      <c r="G10" s="42" t="n">
        <v>1</v>
      </c>
      <c r="H10" s="42" t="s">
        <v>639</v>
      </c>
      <c r="I10" s="42" t="s">
        <v>475</v>
      </c>
      <c r="J10" s="42" t="s">
        <v>62</v>
      </c>
      <c r="K10" s="42" t="s">
        <v>61</v>
      </c>
    </row>
    <row r="11" customFormat="false" ht="15" hidden="false" customHeight="false" outlineLevel="0" collapsed="false">
      <c r="A11" s="40" t="s">
        <v>650</v>
      </c>
      <c r="B11" s="40" t="s">
        <v>476</v>
      </c>
      <c r="C11" s="40" t="s">
        <v>638</v>
      </c>
      <c r="D11" s="40" t="s">
        <v>22</v>
      </c>
      <c r="E11" s="41" t="n">
        <f aca="false">WORKDAY('Project Plan'!$B$3,2)</f>
        <v>45903</v>
      </c>
      <c r="F11" s="41" t="n">
        <f aca="false">WORKDAY(E11,0)</f>
        <v>45903</v>
      </c>
      <c r="G11" s="40" t="n">
        <v>1</v>
      </c>
      <c r="H11" s="40" t="s">
        <v>639</v>
      </c>
      <c r="I11" s="40" t="s">
        <v>477</v>
      </c>
      <c r="J11" s="40" t="s">
        <v>65</v>
      </c>
      <c r="K11" s="40" t="s">
        <v>47</v>
      </c>
    </row>
    <row r="12" customFormat="false" ht="15" hidden="false" customHeight="false" outlineLevel="0" collapsed="false">
      <c r="A12" s="42" t="s">
        <v>651</v>
      </c>
      <c r="B12" s="42" t="s">
        <v>478</v>
      </c>
      <c r="C12" s="42" t="s">
        <v>638</v>
      </c>
      <c r="D12" s="42" t="s">
        <v>22</v>
      </c>
      <c r="E12" s="43" t="n">
        <f aca="false">WORKDAY('Project Plan'!$B$3,3)</f>
        <v>45904</v>
      </c>
      <c r="F12" s="43" t="n">
        <f aca="false">WORKDAY(E12,0)</f>
        <v>45904</v>
      </c>
      <c r="G12" s="42" t="n">
        <v>1</v>
      </c>
      <c r="H12" s="42" t="s">
        <v>639</v>
      </c>
      <c r="I12" s="42" t="s">
        <v>479</v>
      </c>
      <c r="J12" s="42" t="s">
        <v>68</v>
      </c>
      <c r="K12" s="42" t="s">
        <v>47</v>
      </c>
    </row>
    <row r="13" customFormat="false" ht="15" hidden="false" customHeight="false" outlineLevel="0" collapsed="false">
      <c r="A13" s="40" t="s">
        <v>652</v>
      </c>
      <c r="B13" s="40" t="s">
        <v>480</v>
      </c>
      <c r="C13" s="40" t="s">
        <v>638</v>
      </c>
      <c r="D13" s="40" t="s">
        <v>22</v>
      </c>
      <c r="E13" s="41" t="n">
        <f aca="false">WORKDAY('Project Plan'!$B$3,4)</f>
        <v>45905</v>
      </c>
      <c r="F13" s="41" t="n">
        <f aca="false">WORKDAY(E13,0)</f>
        <v>45905</v>
      </c>
      <c r="G13" s="40" t="n">
        <v>1</v>
      </c>
      <c r="H13" s="40" t="s">
        <v>639</v>
      </c>
      <c r="I13" s="40" t="s">
        <v>589</v>
      </c>
      <c r="J13" s="40" t="s">
        <v>72</v>
      </c>
      <c r="K13" s="40" t="s">
        <v>47</v>
      </c>
    </row>
    <row r="14" customFormat="false" ht="15" hidden="false" customHeight="false" outlineLevel="0" collapsed="false">
      <c r="A14" s="42" t="s">
        <v>653</v>
      </c>
      <c r="B14" s="42" t="s">
        <v>482</v>
      </c>
      <c r="C14" s="42" t="s">
        <v>638</v>
      </c>
      <c r="D14" s="42" t="s">
        <v>22</v>
      </c>
      <c r="E14" s="43" t="n">
        <f aca="false">WORKDAY('Project Plan'!$B$3,4)</f>
        <v>45905</v>
      </c>
      <c r="F14" s="43" t="n">
        <f aca="false">WORKDAY(E14,0)</f>
        <v>45905</v>
      </c>
      <c r="G14" s="42" t="n">
        <v>1</v>
      </c>
      <c r="H14" s="42" t="s">
        <v>639</v>
      </c>
      <c r="I14" s="42" t="s">
        <v>477</v>
      </c>
      <c r="J14" s="42" t="s">
        <v>75</v>
      </c>
      <c r="K14" s="42" t="s">
        <v>47</v>
      </c>
    </row>
    <row r="15" customFormat="false" ht="15" hidden="false" customHeight="false" outlineLevel="0" collapsed="false">
      <c r="A15" s="40" t="s">
        <v>654</v>
      </c>
      <c r="B15" s="40" t="s">
        <v>484</v>
      </c>
      <c r="C15" s="40" t="s">
        <v>638</v>
      </c>
      <c r="D15" s="40" t="s">
        <v>22</v>
      </c>
      <c r="E15" s="41" t="n">
        <f aca="false">WORKDAY('Project Plan'!$B$3,9)</f>
        <v>45912</v>
      </c>
      <c r="F15" s="41" t="n">
        <f aca="false">WORKDAY(E15,0)</f>
        <v>45912</v>
      </c>
      <c r="G15" s="40" t="n">
        <v>1</v>
      </c>
      <c r="H15" s="40" t="s">
        <v>639</v>
      </c>
      <c r="I15" s="40" t="s">
        <v>477</v>
      </c>
      <c r="J15" s="40" t="s">
        <v>79</v>
      </c>
      <c r="K15" s="40" t="s">
        <v>78</v>
      </c>
    </row>
    <row r="16" customFormat="false" ht="15" hidden="false" customHeight="false" outlineLevel="0" collapsed="false">
      <c r="A16" s="42" t="s">
        <v>655</v>
      </c>
      <c r="B16" s="42" t="s">
        <v>81</v>
      </c>
      <c r="C16" s="42" t="s">
        <v>638</v>
      </c>
      <c r="D16" s="42" t="s">
        <v>22</v>
      </c>
      <c r="E16" s="43" t="n">
        <f aca="false">WORKDAY('Project Plan'!$B$3,9)</f>
        <v>45912</v>
      </c>
      <c r="F16" s="43" t="n">
        <f aca="false">WORKDAY(E16,0)</f>
        <v>45912</v>
      </c>
      <c r="G16" s="42" t="n">
        <v>0</v>
      </c>
      <c r="H16" s="42" t="s">
        <v>639</v>
      </c>
      <c r="I16" s="42"/>
      <c r="J16" s="42"/>
      <c r="K16" s="42" t="s">
        <v>83</v>
      </c>
    </row>
    <row r="17" customFormat="false" ht="15" hidden="false" customHeight="false" outlineLevel="0" collapsed="false">
      <c r="A17" s="40" t="s">
        <v>656</v>
      </c>
      <c r="B17" s="40" t="s">
        <v>87</v>
      </c>
      <c r="C17" s="40"/>
      <c r="D17" s="40" t="s">
        <v>85</v>
      </c>
      <c r="E17" s="41" t="n">
        <f aca="false">WORKDAY('Project Plan'!$B$3,10)</f>
        <v>45915</v>
      </c>
      <c r="F17" s="41" t="n">
        <f aca="false">WORKDAY(E17,9)</f>
        <v>45926</v>
      </c>
      <c r="G17" s="40" t="n">
        <v>10</v>
      </c>
      <c r="H17" s="40" t="s">
        <v>639</v>
      </c>
      <c r="I17" s="40" t="s">
        <v>657</v>
      </c>
      <c r="J17" s="40" t="s">
        <v>89</v>
      </c>
      <c r="K17" s="40"/>
    </row>
    <row r="18" customFormat="false" ht="15" hidden="false" customHeight="false" outlineLevel="0" collapsed="false">
      <c r="A18" s="42" t="s">
        <v>658</v>
      </c>
      <c r="B18" s="42" t="s">
        <v>488</v>
      </c>
      <c r="C18" s="42" t="s">
        <v>656</v>
      </c>
      <c r="D18" s="42" t="s">
        <v>85</v>
      </c>
      <c r="E18" s="43" t="n">
        <f aca="false">WORKDAY('Project Plan'!$B$3,10)</f>
        <v>45915</v>
      </c>
      <c r="F18" s="43" t="n">
        <f aca="false">WORKDAY(E18,0)</f>
        <v>45915</v>
      </c>
      <c r="G18" s="42" t="n">
        <v>1</v>
      </c>
      <c r="H18" s="42" t="s">
        <v>639</v>
      </c>
      <c r="I18" s="42" t="s">
        <v>659</v>
      </c>
      <c r="J18" s="42" t="s">
        <v>94</v>
      </c>
      <c r="K18" s="42" t="s">
        <v>92</v>
      </c>
    </row>
    <row r="19" customFormat="false" ht="15" hidden="false" customHeight="false" outlineLevel="0" collapsed="false">
      <c r="A19" s="40" t="s">
        <v>660</v>
      </c>
      <c r="B19" s="40" t="s">
        <v>490</v>
      </c>
      <c r="C19" s="40" t="s">
        <v>656</v>
      </c>
      <c r="D19" s="40" t="s">
        <v>85</v>
      </c>
      <c r="E19" s="41" t="n">
        <f aca="false">WORKDAY('Project Plan'!$B$3,10)</f>
        <v>45915</v>
      </c>
      <c r="F19" s="41" t="n">
        <f aca="false">WORKDAY(E19,2)</f>
        <v>45917</v>
      </c>
      <c r="G19" s="40" t="n">
        <v>3</v>
      </c>
      <c r="H19" s="40" t="s">
        <v>639</v>
      </c>
      <c r="I19" s="40" t="s">
        <v>468</v>
      </c>
      <c r="J19" s="40" t="s">
        <v>98</v>
      </c>
      <c r="K19" s="40" t="s">
        <v>97</v>
      </c>
    </row>
    <row r="20" customFormat="false" ht="15" hidden="false" customHeight="false" outlineLevel="0" collapsed="false">
      <c r="A20" s="42" t="s">
        <v>661</v>
      </c>
      <c r="B20" s="42" t="s">
        <v>491</v>
      </c>
      <c r="C20" s="42" t="s">
        <v>656</v>
      </c>
      <c r="D20" s="42" t="s">
        <v>85</v>
      </c>
      <c r="E20" s="43" t="n">
        <f aca="false">WORKDAY('Project Plan'!$B$3,10)</f>
        <v>45915</v>
      </c>
      <c r="F20" s="43" t="n">
        <f aca="false">WORKDAY(E20,1)</f>
        <v>45916</v>
      </c>
      <c r="G20" s="42" t="n">
        <v>2</v>
      </c>
      <c r="H20" s="42" t="s">
        <v>639</v>
      </c>
      <c r="I20" s="42" t="s">
        <v>657</v>
      </c>
      <c r="J20" s="42" t="s">
        <v>102</v>
      </c>
      <c r="K20" s="42" t="s">
        <v>101</v>
      </c>
    </row>
    <row r="21" customFormat="false" ht="15" hidden="false" customHeight="false" outlineLevel="0" collapsed="false">
      <c r="A21" s="40" t="s">
        <v>662</v>
      </c>
      <c r="B21" s="40" t="s">
        <v>493</v>
      </c>
      <c r="C21" s="40" t="s">
        <v>656</v>
      </c>
      <c r="D21" s="40" t="s">
        <v>85</v>
      </c>
      <c r="E21" s="41" t="n">
        <f aca="false">WORKDAY('Project Plan'!$B$3,12)</f>
        <v>45917</v>
      </c>
      <c r="F21" s="41" t="n">
        <f aca="false">WORKDAY(E21,1)</f>
        <v>45918</v>
      </c>
      <c r="G21" s="40" t="n">
        <v>2</v>
      </c>
      <c r="H21" s="40" t="s">
        <v>639</v>
      </c>
      <c r="I21" s="40" t="s">
        <v>663</v>
      </c>
      <c r="J21" s="40" t="s">
        <v>106</v>
      </c>
      <c r="K21" s="40" t="s">
        <v>105</v>
      </c>
    </row>
    <row r="22" customFormat="false" ht="15" hidden="false" customHeight="false" outlineLevel="0" collapsed="false">
      <c r="A22" s="42" t="s">
        <v>664</v>
      </c>
      <c r="B22" s="42" t="s">
        <v>495</v>
      </c>
      <c r="C22" s="42" t="s">
        <v>656</v>
      </c>
      <c r="D22" s="42" t="s">
        <v>85</v>
      </c>
      <c r="E22" s="43" t="n">
        <f aca="false">WORKDAY('Project Plan'!$B$3,10)</f>
        <v>45915</v>
      </c>
      <c r="F22" s="43" t="n">
        <f aca="false">WORKDAY(E22,0)</f>
        <v>45915</v>
      </c>
      <c r="G22" s="42" t="n">
        <v>1</v>
      </c>
      <c r="H22" s="42" t="s">
        <v>639</v>
      </c>
      <c r="I22" s="42" t="s">
        <v>665</v>
      </c>
      <c r="J22" s="42" t="s">
        <v>109</v>
      </c>
      <c r="K22" s="42" t="s">
        <v>101</v>
      </c>
    </row>
    <row r="23" customFormat="false" ht="15" hidden="false" customHeight="false" outlineLevel="0" collapsed="false">
      <c r="A23" s="40" t="s">
        <v>666</v>
      </c>
      <c r="B23" s="40" t="s">
        <v>497</v>
      </c>
      <c r="C23" s="40" t="s">
        <v>656</v>
      </c>
      <c r="D23" s="40" t="s">
        <v>85</v>
      </c>
      <c r="E23" s="41" t="n">
        <f aca="false">WORKDAY('Project Plan'!$B$3,11)</f>
        <v>45916</v>
      </c>
      <c r="F23" s="41" t="n">
        <f aca="false">WORKDAY(E23,0)</f>
        <v>45916</v>
      </c>
      <c r="G23" s="40" t="n">
        <v>1</v>
      </c>
      <c r="H23" s="40" t="s">
        <v>639</v>
      </c>
      <c r="I23" s="40" t="s">
        <v>665</v>
      </c>
      <c r="J23" s="40" t="s">
        <v>113</v>
      </c>
      <c r="K23" s="40" t="s">
        <v>112</v>
      </c>
    </row>
    <row r="24" customFormat="false" ht="15" hidden="false" customHeight="false" outlineLevel="0" collapsed="false">
      <c r="A24" s="42" t="s">
        <v>667</v>
      </c>
      <c r="B24" s="42" t="s">
        <v>499</v>
      </c>
      <c r="C24" s="42" t="s">
        <v>656</v>
      </c>
      <c r="D24" s="42" t="s">
        <v>85</v>
      </c>
      <c r="E24" s="43" t="n">
        <f aca="false">WORKDAY('Project Plan'!$B$3,12)</f>
        <v>45917</v>
      </c>
      <c r="F24" s="43" t="n">
        <f aca="false">WORKDAY(E24,0)</f>
        <v>45917</v>
      </c>
      <c r="G24" s="42" t="n">
        <v>1</v>
      </c>
      <c r="H24" s="42" t="s">
        <v>639</v>
      </c>
      <c r="I24" s="42" t="s">
        <v>665</v>
      </c>
      <c r="J24" s="42" t="s">
        <v>118</v>
      </c>
      <c r="K24" s="42" t="s">
        <v>116</v>
      </c>
    </row>
    <row r="25" customFormat="false" ht="15" hidden="false" customHeight="false" outlineLevel="0" collapsed="false">
      <c r="A25" s="40" t="s">
        <v>668</v>
      </c>
      <c r="B25" s="40" t="s">
        <v>501</v>
      </c>
      <c r="C25" s="40" t="s">
        <v>656</v>
      </c>
      <c r="D25" s="40" t="s">
        <v>85</v>
      </c>
      <c r="E25" s="41" t="n">
        <f aca="false">WORKDAY('Project Plan'!$B$3,13)</f>
        <v>45918</v>
      </c>
      <c r="F25" s="41" t="n">
        <f aca="false">WORKDAY(E25,1)</f>
        <v>45919</v>
      </c>
      <c r="G25" s="40" t="n">
        <v>2</v>
      </c>
      <c r="H25" s="40" t="s">
        <v>639</v>
      </c>
      <c r="I25" s="40" t="s">
        <v>665</v>
      </c>
      <c r="J25" s="40" t="s">
        <v>122</v>
      </c>
      <c r="K25" s="40" t="s">
        <v>121</v>
      </c>
    </row>
    <row r="26" customFormat="false" ht="15" hidden="false" customHeight="false" outlineLevel="0" collapsed="false">
      <c r="A26" s="42" t="s">
        <v>669</v>
      </c>
      <c r="B26" s="42" t="s">
        <v>503</v>
      </c>
      <c r="C26" s="42" t="s">
        <v>656</v>
      </c>
      <c r="D26" s="42" t="s">
        <v>85</v>
      </c>
      <c r="E26" s="43" t="n">
        <f aca="false">WORKDAY('Project Plan'!$B$3,14)</f>
        <v>45919</v>
      </c>
      <c r="F26" s="43" t="n">
        <f aca="false">WORKDAY(E26,0)</f>
        <v>45919</v>
      </c>
      <c r="G26" s="42" t="n">
        <v>1</v>
      </c>
      <c r="H26" s="42" t="s">
        <v>639</v>
      </c>
      <c r="I26" s="42" t="s">
        <v>665</v>
      </c>
      <c r="J26" s="42" t="s">
        <v>126</v>
      </c>
      <c r="K26" s="42" t="s">
        <v>125</v>
      </c>
    </row>
    <row r="27" customFormat="false" ht="15" hidden="false" customHeight="false" outlineLevel="0" collapsed="false">
      <c r="A27" s="40" t="s">
        <v>670</v>
      </c>
      <c r="B27" s="40" t="s">
        <v>504</v>
      </c>
      <c r="C27" s="40" t="s">
        <v>656</v>
      </c>
      <c r="D27" s="40" t="s">
        <v>85</v>
      </c>
      <c r="E27" s="41" t="n">
        <f aca="false">WORKDAY('Project Plan'!$B$3,18)</f>
        <v>45925</v>
      </c>
      <c r="F27" s="41" t="n">
        <f aca="false">WORKDAY(E27,0)</f>
        <v>45925</v>
      </c>
      <c r="G27" s="40" t="n">
        <v>1</v>
      </c>
      <c r="H27" s="40" t="s">
        <v>639</v>
      </c>
      <c r="I27" s="40" t="s">
        <v>671</v>
      </c>
      <c r="J27" s="40" t="s">
        <v>131</v>
      </c>
      <c r="K27" s="40" t="s">
        <v>129</v>
      </c>
    </row>
    <row r="28" customFormat="false" ht="15" hidden="false" customHeight="false" outlineLevel="0" collapsed="false">
      <c r="A28" s="42" t="s">
        <v>672</v>
      </c>
      <c r="B28" s="42" t="s">
        <v>506</v>
      </c>
      <c r="C28" s="42" t="s">
        <v>656</v>
      </c>
      <c r="D28" s="42" t="s">
        <v>85</v>
      </c>
      <c r="E28" s="43" t="n">
        <f aca="false">WORKDAY('Project Plan'!$B$3,19)</f>
        <v>45926</v>
      </c>
      <c r="F28" s="43" t="n">
        <f aca="false">WORKDAY(E28,0)</f>
        <v>45926</v>
      </c>
      <c r="G28" s="42" t="n">
        <v>1</v>
      </c>
      <c r="H28" s="42" t="s">
        <v>639</v>
      </c>
      <c r="I28" s="42" t="s">
        <v>477</v>
      </c>
      <c r="J28" s="42" t="s">
        <v>135</v>
      </c>
      <c r="K28" s="42" t="s">
        <v>134</v>
      </c>
    </row>
    <row r="29" customFormat="false" ht="15" hidden="false" customHeight="false" outlineLevel="0" collapsed="false">
      <c r="A29" s="40" t="s">
        <v>673</v>
      </c>
      <c r="B29" s="40" t="s">
        <v>137</v>
      </c>
      <c r="C29" s="40" t="s">
        <v>656</v>
      </c>
      <c r="D29" s="40" t="s">
        <v>85</v>
      </c>
      <c r="E29" s="41" t="n">
        <f aca="false">WORKDAY('Project Plan'!$B$3,19)</f>
        <v>45926</v>
      </c>
      <c r="F29" s="41" t="n">
        <f aca="false">WORKDAY(E29,0)</f>
        <v>45926</v>
      </c>
      <c r="G29" s="40" t="n">
        <v>0</v>
      </c>
      <c r="H29" s="40" t="s">
        <v>639</v>
      </c>
      <c r="I29" s="40"/>
      <c r="J29" s="40"/>
      <c r="K29" s="40" t="s">
        <v>138</v>
      </c>
    </row>
    <row r="30" customFormat="false" ht="15" hidden="false" customHeight="false" outlineLevel="0" collapsed="false">
      <c r="A30" s="42" t="s">
        <v>674</v>
      </c>
      <c r="B30" s="42" t="s">
        <v>141</v>
      </c>
      <c r="C30" s="42"/>
      <c r="D30" s="42" t="s">
        <v>85</v>
      </c>
      <c r="E30" s="43" t="n">
        <f aca="false">WORKDAY('Project Plan'!$B$3,20)</f>
        <v>45929</v>
      </c>
      <c r="F30" s="43" t="n">
        <f aca="false">WORKDAY(E30,9)</f>
        <v>45940</v>
      </c>
      <c r="G30" s="42" t="n">
        <v>10</v>
      </c>
      <c r="H30" s="42" t="s">
        <v>639</v>
      </c>
      <c r="I30" s="42" t="s">
        <v>468</v>
      </c>
      <c r="J30" s="42" t="s">
        <v>142</v>
      </c>
      <c r="K30" s="42"/>
    </row>
    <row r="31" customFormat="false" ht="15" hidden="false" customHeight="false" outlineLevel="0" collapsed="false">
      <c r="A31" s="40" t="s">
        <v>675</v>
      </c>
      <c r="B31" s="40" t="s">
        <v>509</v>
      </c>
      <c r="C31" s="40" t="s">
        <v>674</v>
      </c>
      <c r="D31" s="40" t="s">
        <v>85</v>
      </c>
      <c r="E31" s="41" t="n">
        <f aca="false">WORKDAY('Project Plan'!$B$3,20)</f>
        <v>45929</v>
      </c>
      <c r="F31" s="41" t="n">
        <f aca="false">WORKDAY(E31,0)</f>
        <v>45929</v>
      </c>
      <c r="G31" s="40" t="n">
        <v>1</v>
      </c>
      <c r="H31" s="40" t="s">
        <v>639</v>
      </c>
      <c r="I31" s="40" t="s">
        <v>659</v>
      </c>
      <c r="J31" s="40"/>
      <c r="K31" s="40" t="s">
        <v>145</v>
      </c>
    </row>
    <row r="32" customFormat="false" ht="15" hidden="false" customHeight="false" outlineLevel="0" collapsed="false">
      <c r="A32" s="42" t="s">
        <v>676</v>
      </c>
      <c r="B32" s="42" t="s">
        <v>510</v>
      </c>
      <c r="C32" s="42" t="s">
        <v>674</v>
      </c>
      <c r="D32" s="42" t="s">
        <v>85</v>
      </c>
      <c r="E32" s="43" t="n">
        <f aca="false">WORKDAY('Project Plan'!$B$3,20)</f>
        <v>45929</v>
      </c>
      <c r="F32" s="43" t="n">
        <f aca="false">WORKDAY(E32,2)</f>
        <v>45931</v>
      </c>
      <c r="G32" s="42" t="n">
        <v>3</v>
      </c>
      <c r="H32" s="42" t="s">
        <v>639</v>
      </c>
      <c r="I32" s="42" t="s">
        <v>646</v>
      </c>
      <c r="J32" s="42" t="s">
        <v>149</v>
      </c>
      <c r="K32" s="42" t="s">
        <v>148</v>
      </c>
    </row>
    <row r="33" customFormat="false" ht="15" hidden="false" customHeight="false" outlineLevel="0" collapsed="false">
      <c r="A33" s="40" t="s">
        <v>677</v>
      </c>
      <c r="B33" s="40" t="s">
        <v>511</v>
      </c>
      <c r="C33" s="40" t="s">
        <v>674</v>
      </c>
      <c r="D33" s="40" t="s">
        <v>85</v>
      </c>
      <c r="E33" s="41" t="n">
        <f aca="false">WORKDAY('Project Plan'!$B$3,20)</f>
        <v>45929</v>
      </c>
      <c r="F33" s="41" t="n">
        <f aca="false">WORKDAY(E33,3)</f>
        <v>45932</v>
      </c>
      <c r="G33" s="40" t="n">
        <v>4</v>
      </c>
      <c r="H33" s="40" t="s">
        <v>639</v>
      </c>
      <c r="I33" s="40" t="s">
        <v>646</v>
      </c>
      <c r="J33" s="40" t="s">
        <v>152</v>
      </c>
      <c r="K33" s="40" t="s">
        <v>148</v>
      </c>
    </row>
    <row r="34" customFormat="false" ht="15" hidden="false" customHeight="false" outlineLevel="0" collapsed="false">
      <c r="A34" s="42" t="s">
        <v>678</v>
      </c>
      <c r="B34" s="42" t="s">
        <v>513</v>
      </c>
      <c r="C34" s="42" t="s">
        <v>674</v>
      </c>
      <c r="D34" s="42" t="s">
        <v>85</v>
      </c>
      <c r="E34" s="43" t="n">
        <f aca="false">WORKDAY('Project Plan'!$B$3,20)</f>
        <v>45929</v>
      </c>
      <c r="F34" s="43" t="n">
        <f aca="false">WORKDAY(E34,0)</f>
        <v>45929</v>
      </c>
      <c r="G34" s="42" t="n">
        <v>1</v>
      </c>
      <c r="H34" s="42" t="s">
        <v>639</v>
      </c>
      <c r="I34" s="42" t="s">
        <v>679</v>
      </c>
      <c r="J34" s="42" t="s">
        <v>155</v>
      </c>
      <c r="K34" s="42" t="s">
        <v>148</v>
      </c>
    </row>
    <row r="35" customFormat="false" ht="15" hidden="false" customHeight="false" outlineLevel="0" collapsed="false">
      <c r="A35" s="40" t="s">
        <v>680</v>
      </c>
      <c r="B35" s="40" t="s">
        <v>515</v>
      </c>
      <c r="C35" s="40" t="s">
        <v>674</v>
      </c>
      <c r="D35" s="40" t="s">
        <v>85</v>
      </c>
      <c r="E35" s="41" t="n">
        <f aca="false">WORKDAY('Project Plan'!$B$3,21)</f>
        <v>45930</v>
      </c>
      <c r="F35" s="41" t="n">
        <f aca="false">WORKDAY(E35,0)</f>
        <v>45930</v>
      </c>
      <c r="G35" s="40" t="n">
        <v>1</v>
      </c>
      <c r="H35" s="40" t="s">
        <v>639</v>
      </c>
      <c r="I35" s="40" t="s">
        <v>663</v>
      </c>
      <c r="J35" s="40" t="s">
        <v>159</v>
      </c>
      <c r="K35" s="40" t="s">
        <v>158</v>
      </c>
    </row>
    <row r="36" customFormat="false" ht="15" hidden="false" customHeight="false" outlineLevel="0" collapsed="false">
      <c r="A36" s="42" t="s">
        <v>681</v>
      </c>
      <c r="B36" s="42" t="s">
        <v>517</v>
      </c>
      <c r="C36" s="42" t="s">
        <v>674</v>
      </c>
      <c r="D36" s="42" t="s">
        <v>85</v>
      </c>
      <c r="E36" s="43" t="n">
        <f aca="false">WORKDAY('Project Plan'!$B$3,22)</f>
        <v>45931</v>
      </c>
      <c r="F36" s="43" t="n">
        <f aca="false">WORKDAY(E36,2)</f>
        <v>45933</v>
      </c>
      <c r="G36" s="42" t="n">
        <v>3</v>
      </c>
      <c r="H36" s="42" t="s">
        <v>639</v>
      </c>
      <c r="I36" s="42" t="s">
        <v>646</v>
      </c>
      <c r="J36" s="42" t="s">
        <v>163</v>
      </c>
      <c r="K36" s="42" t="s">
        <v>162</v>
      </c>
    </row>
    <row r="37" customFormat="false" ht="15" hidden="false" customHeight="false" outlineLevel="0" collapsed="false">
      <c r="A37" s="40" t="s">
        <v>682</v>
      </c>
      <c r="B37" s="40" t="s">
        <v>518</v>
      </c>
      <c r="C37" s="40" t="s">
        <v>674</v>
      </c>
      <c r="D37" s="40" t="s">
        <v>85</v>
      </c>
      <c r="E37" s="41" t="n">
        <f aca="false">WORKDAY('Project Plan'!$B$3,20)</f>
        <v>45929</v>
      </c>
      <c r="F37" s="41" t="n">
        <f aca="false">WORKDAY(E37,0)</f>
        <v>45929</v>
      </c>
      <c r="G37" s="40" t="n">
        <v>1</v>
      </c>
      <c r="H37" s="40" t="s">
        <v>639</v>
      </c>
      <c r="I37" s="40" t="s">
        <v>521</v>
      </c>
      <c r="J37" s="40" t="s">
        <v>166</v>
      </c>
      <c r="K37" s="40" t="s">
        <v>148</v>
      </c>
    </row>
    <row r="38" customFormat="false" ht="15" hidden="false" customHeight="false" outlineLevel="0" collapsed="false">
      <c r="A38" s="42" t="s">
        <v>683</v>
      </c>
      <c r="B38" s="42" t="s">
        <v>520</v>
      </c>
      <c r="C38" s="42" t="s">
        <v>674</v>
      </c>
      <c r="D38" s="42" t="s">
        <v>85</v>
      </c>
      <c r="E38" s="43" t="n">
        <f aca="false">WORKDAY('Project Plan'!$B$3,21)</f>
        <v>45930</v>
      </c>
      <c r="F38" s="43" t="n">
        <f aca="false">WORKDAY(E38,1)</f>
        <v>45931</v>
      </c>
      <c r="G38" s="42" t="n">
        <v>2</v>
      </c>
      <c r="H38" s="42" t="s">
        <v>639</v>
      </c>
      <c r="I38" s="42" t="s">
        <v>521</v>
      </c>
      <c r="J38" s="42" t="s">
        <v>170</v>
      </c>
      <c r="K38" s="42" t="s">
        <v>169</v>
      </c>
    </row>
    <row r="39" customFormat="false" ht="15" hidden="false" customHeight="false" outlineLevel="0" collapsed="false">
      <c r="A39" s="40" t="s">
        <v>684</v>
      </c>
      <c r="B39" s="40" t="s">
        <v>522</v>
      </c>
      <c r="C39" s="40" t="s">
        <v>674</v>
      </c>
      <c r="D39" s="40" t="s">
        <v>85</v>
      </c>
      <c r="E39" s="41" t="n">
        <f aca="false">WORKDAY('Project Plan'!$B$3,28)</f>
        <v>45939</v>
      </c>
      <c r="F39" s="41" t="n">
        <f aca="false">WORKDAY(E39,0)</f>
        <v>45939</v>
      </c>
      <c r="G39" s="40" t="n">
        <v>1</v>
      </c>
      <c r="H39" s="40" t="s">
        <v>639</v>
      </c>
      <c r="I39" s="40" t="s">
        <v>685</v>
      </c>
      <c r="J39" s="40" t="s">
        <v>174</v>
      </c>
      <c r="K39" s="40" t="s">
        <v>173</v>
      </c>
    </row>
    <row r="40" customFormat="false" ht="15" hidden="false" customHeight="false" outlineLevel="0" collapsed="false">
      <c r="A40" s="42" t="s">
        <v>686</v>
      </c>
      <c r="B40" s="42" t="s">
        <v>524</v>
      </c>
      <c r="C40" s="42" t="s">
        <v>674</v>
      </c>
      <c r="D40" s="42" t="s">
        <v>85</v>
      </c>
      <c r="E40" s="43" t="n">
        <f aca="false">WORKDAY('Project Plan'!$B$3,29)</f>
        <v>45940</v>
      </c>
      <c r="F40" s="43" t="n">
        <f aca="false">WORKDAY(E40,0)</f>
        <v>45940</v>
      </c>
      <c r="G40" s="42" t="n">
        <v>1</v>
      </c>
      <c r="H40" s="42" t="s">
        <v>639</v>
      </c>
      <c r="I40" s="42" t="s">
        <v>477</v>
      </c>
      <c r="J40" s="42"/>
      <c r="K40" s="42" t="s">
        <v>177</v>
      </c>
    </row>
    <row r="41" customFormat="false" ht="15" hidden="false" customHeight="false" outlineLevel="0" collapsed="false">
      <c r="A41" s="40" t="s">
        <v>687</v>
      </c>
      <c r="B41" s="40" t="s">
        <v>179</v>
      </c>
      <c r="C41" s="40" t="s">
        <v>674</v>
      </c>
      <c r="D41" s="40" t="s">
        <v>85</v>
      </c>
      <c r="E41" s="41" t="n">
        <f aca="false">WORKDAY('Project Plan'!$B$3,29)</f>
        <v>45940</v>
      </c>
      <c r="F41" s="41" t="n">
        <f aca="false">WORKDAY(E41,0)</f>
        <v>45940</v>
      </c>
      <c r="G41" s="40" t="n">
        <v>0</v>
      </c>
      <c r="H41" s="40" t="s">
        <v>639</v>
      </c>
      <c r="I41" s="40"/>
      <c r="J41" s="40"/>
      <c r="K41" s="40" t="s">
        <v>180</v>
      </c>
    </row>
    <row r="42" customFormat="false" ht="15" hidden="false" customHeight="false" outlineLevel="0" collapsed="false">
      <c r="A42" s="42" t="s">
        <v>688</v>
      </c>
      <c r="B42" s="42" t="s">
        <v>184</v>
      </c>
      <c r="C42" s="42"/>
      <c r="D42" s="42" t="s">
        <v>182</v>
      </c>
      <c r="E42" s="43" t="n">
        <f aca="false">WORKDAY('Project Plan'!$B$3,30)</f>
        <v>45943</v>
      </c>
      <c r="F42" s="43" t="n">
        <f aca="false">WORKDAY(E42,9)</f>
        <v>45954</v>
      </c>
      <c r="G42" s="42" t="n">
        <v>10</v>
      </c>
      <c r="H42" s="42" t="s">
        <v>639</v>
      </c>
      <c r="I42" s="42" t="s">
        <v>530</v>
      </c>
      <c r="J42" s="42" t="s">
        <v>185</v>
      </c>
      <c r="K42" s="42"/>
    </row>
    <row r="43" customFormat="false" ht="15" hidden="false" customHeight="false" outlineLevel="0" collapsed="false">
      <c r="A43" s="40" t="s">
        <v>689</v>
      </c>
      <c r="B43" s="40" t="s">
        <v>526</v>
      </c>
      <c r="C43" s="40" t="s">
        <v>688</v>
      </c>
      <c r="D43" s="40" t="s">
        <v>182</v>
      </c>
      <c r="E43" s="41" t="n">
        <f aca="false">WORKDAY('Project Plan'!$B$3,30)</f>
        <v>45943</v>
      </c>
      <c r="F43" s="41" t="n">
        <f aca="false">WORKDAY(E43,0)</f>
        <v>45943</v>
      </c>
      <c r="G43" s="40" t="n">
        <v>1</v>
      </c>
      <c r="H43" s="40" t="s">
        <v>639</v>
      </c>
      <c r="I43" s="40" t="s">
        <v>659</v>
      </c>
      <c r="J43" s="40"/>
      <c r="K43" s="40" t="s">
        <v>188</v>
      </c>
    </row>
    <row r="44" customFormat="false" ht="15" hidden="false" customHeight="false" outlineLevel="0" collapsed="false">
      <c r="A44" s="42" t="s">
        <v>690</v>
      </c>
      <c r="B44" s="42" t="s">
        <v>527</v>
      </c>
      <c r="C44" s="42" t="s">
        <v>688</v>
      </c>
      <c r="D44" s="42" t="s">
        <v>182</v>
      </c>
      <c r="E44" s="43" t="n">
        <f aca="false">WORKDAY('Project Plan'!$B$3,30)</f>
        <v>45943</v>
      </c>
      <c r="F44" s="43" t="n">
        <f aca="false">WORKDAY(E44,2)</f>
        <v>45945</v>
      </c>
      <c r="G44" s="42" t="n">
        <v>3</v>
      </c>
      <c r="H44" s="42" t="s">
        <v>639</v>
      </c>
      <c r="I44" s="42" t="s">
        <v>530</v>
      </c>
      <c r="J44" s="42" t="s">
        <v>192</v>
      </c>
      <c r="K44" s="42" t="s">
        <v>191</v>
      </c>
    </row>
    <row r="45" customFormat="false" ht="15" hidden="false" customHeight="false" outlineLevel="0" collapsed="false">
      <c r="A45" s="40" t="s">
        <v>691</v>
      </c>
      <c r="B45" s="40" t="s">
        <v>529</v>
      </c>
      <c r="C45" s="40" t="s">
        <v>688</v>
      </c>
      <c r="D45" s="40" t="s">
        <v>182</v>
      </c>
      <c r="E45" s="41" t="n">
        <f aca="false">WORKDAY('Project Plan'!$B$3,33)</f>
        <v>45946</v>
      </c>
      <c r="F45" s="41" t="n">
        <f aca="false">WORKDAY(E45,1)</f>
        <v>45947</v>
      </c>
      <c r="G45" s="40" t="n">
        <v>2</v>
      </c>
      <c r="H45" s="40" t="s">
        <v>639</v>
      </c>
      <c r="I45" s="40" t="s">
        <v>530</v>
      </c>
      <c r="J45" s="40" t="s">
        <v>196</v>
      </c>
      <c r="K45" s="40" t="s">
        <v>195</v>
      </c>
    </row>
    <row r="46" customFormat="false" ht="15" hidden="false" customHeight="false" outlineLevel="0" collapsed="false">
      <c r="A46" s="42" t="s">
        <v>692</v>
      </c>
      <c r="B46" s="42" t="s">
        <v>531</v>
      </c>
      <c r="C46" s="42" t="s">
        <v>688</v>
      </c>
      <c r="D46" s="42" t="s">
        <v>182</v>
      </c>
      <c r="E46" s="43" t="n">
        <f aca="false">WORKDAY('Project Plan'!$B$3,30)</f>
        <v>45943</v>
      </c>
      <c r="F46" s="43" t="n">
        <f aca="false">WORKDAY(E46,1)</f>
        <v>45944</v>
      </c>
      <c r="G46" s="42" t="n">
        <v>2</v>
      </c>
      <c r="H46" s="42" t="s">
        <v>639</v>
      </c>
      <c r="I46" s="42" t="s">
        <v>530</v>
      </c>
      <c r="J46" s="42" t="s">
        <v>200</v>
      </c>
      <c r="K46" s="42" t="s">
        <v>199</v>
      </c>
    </row>
    <row r="47" customFormat="false" ht="15" hidden="false" customHeight="false" outlineLevel="0" collapsed="false">
      <c r="A47" s="40" t="s">
        <v>693</v>
      </c>
      <c r="B47" s="40" t="s">
        <v>532</v>
      </c>
      <c r="C47" s="40" t="s">
        <v>688</v>
      </c>
      <c r="D47" s="40" t="s">
        <v>182</v>
      </c>
      <c r="E47" s="41" t="n">
        <f aca="false">WORKDAY('Project Plan'!$B$3,30)</f>
        <v>45943</v>
      </c>
      <c r="F47" s="41" t="n">
        <f aca="false">WORKDAY(E47,1)</f>
        <v>45944</v>
      </c>
      <c r="G47" s="40" t="n">
        <v>2</v>
      </c>
      <c r="H47" s="40" t="s">
        <v>639</v>
      </c>
      <c r="I47" s="40" t="s">
        <v>530</v>
      </c>
      <c r="J47" s="40" t="s">
        <v>204</v>
      </c>
      <c r="K47" s="40" t="s">
        <v>203</v>
      </c>
    </row>
    <row r="48" customFormat="false" ht="15" hidden="false" customHeight="false" outlineLevel="0" collapsed="false">
      <c r="A48" s="42" t="s">
        <v>694</v>
      </c>
      <c r="B48" s="42" t="s">
        <v>534</v>
      </c>
      <c r="C48" s="42" t="s">
        <v>688</v>
      </c>
      <c r="D48" s="42" t="s">
        <v>182</v>
      </c>
      <c r="E48" s="43" t="n">
        <f aca="false">WORKDAY('Project Plan'!$B$3,32)</f>
        <v>45945</v>
      </c>
      <c r="F48" s="43" t="n">
        <f aca="false">WORKDAY(E48,1)</f>
        <v>45946</v>
      </c>
      <c r="G48" s="42" t="n">
        <v>2</v>
      </c>
      <c r="H48" s="42" t="s">
        <v>639</v>
      </c>
      <c r="I48" s="42" t="s">
        <v>530</v>
      </c>
      <c r="J48" s="42" t="s">
        <v>208</v>
      </c>
      <c r="K48" s="42" t="s">
        <v>207</v>
      </c>
    </row>
    <row r="49" customFormat="false" ht="15" hidden="false" customHeight="false" outlineLevel="0" collapsed="false">
      <c r="A49" s="40" t="s">
        <v>695</v>
      </c>
      <c r="B49" s="40" t="s">
        <v>535</v>
      </c>
      <c r="C49" s="40" t="s">
        <v>688</v>
      </c>
      <c r="D49" s="40" t="s">
        <v>182</v>
      </c>
      <c r="E49" s="41" t="n">
        <f aca="false">WORKDAY('Project Plan'!$B$3,32)</f>
        <v>45945</v>
      </c>
      <c r="F49" s="41" t="n">
        <f aca="false">WORKDAY(E49,1)</f>
        <v>45946</v>
      </c>
      <c r="G49" s="40" t="n">
        <v>2</v>
      </c>
      <c r="H49" s="40" t="s">
        <v>639</v>
      </c>
      <c r="I49" s="40" t="s">
        <v>530</v>
      </c>
      <c r="J49" s="40" t="s">
        <v>211</v>
      </c>
      <c r="K49" s="40" t="s">
        <v>207</v>
      </c>
    </row>
    <row r="50" customFormat="false" ht="15" hidden="false" customHeight="false" outlineLevel="0" collapsed="false">
      <c r="A50" s="42" t="s">
        <v>696</v>
      </c>
      <c r="B50" s="42" t="s">
        <v>537</v>
      </c>
      <c r="C50" s="42" t="s">
        <v>688</v>
      </c>
      <c r="D50" s="42" t="s">
        <v>182</v>
      </c>
      <c r="E50" s="43" t="n">
        <f aca="false">WORKDAY('Project Plan'!$B$3,34)</f>
        <v>45947</v>
      </c>
      <c r="F50" s="43" t="n">
        <f aca="false">WORKDAY(E50,1)</f>
        <v>45950</v>
      </c>
      <c r="G50" s="42" t="n">
        <v>2</v>
      </c>
      <c r="H50" s="42" t="s">
        <v>639</v>
      </c>
      <c r="I50" s="42" t="s">
        <v>530</v>
      </c>
      <c r="J50" s="42" t="s">
        <v>215</v>
      </c>
      <c r="K50" s="42" t="s">
        <v>214</v>
      </c>
    </row>
    <row r="51" customFormat="false" ht="15" hidden="false" customHeight="false" outlineLevel="0" collapsed="false">
      <c r="A51" s="40" t="s">
        <v>697</v>
      </c>
      <c r="B51" s="40" t="s">
        <v>538</v>
      </c>
      <c r="C51" s="40" t="s">
        <v>688</v>
      </c>
      <c r="D51" s="40" t="s">
        <v>182</v>
      </c>
      <c r="E51" s="41" t="n">
        <f aca="false">WORKDAY('Project Plan'!$B$3,36)</f>
        <v>45951</v>
      </c>
      <c r="F51" s="41" t="n">
        <f aca="false">WORKDAY(E51,0)</f>
        <v>45951</v>
      </c>
      <c r="G51" s="40" t="n">
        <v>1</v>
      </c>
      <c r="H51" s="40" t="s">
        <v>639</v>
      </c>
      <c r="I51" s="40" t="s">
        <v>698</v>
      </c>
      <c r="J51" s="40" t="s">
        <v>219</v>
      </c>
      <c r="K51" s="40" t="s">
        <v>218</v>
      </c>
    </row>
    <row r="52" customFormat="false" ht="15" hidden="false" customHeight="false" outlineLevel="0" collapsed="false">
      <c r="A52" s="42" t="s">
        <v>699</v>
      </c>
      <c r="B52" s="42" t="s">
        <v>540</v>
      </c>
      <c r="C52" s="42" t="s">
        <v>688</v>
      </c>
      <c r="D52" s="42" t="s">
        <v>182</v>
      </c>
      <c r="E52" s="43" t="n">
        <f aca="false">WORKDAY('Project Plan'!$B$3,38)</f>
        <v>45953</v>
      </c>
      <c r="F52" s="43" t="n">
        <f aca="false">WORKDAY(E52,0)</f>
        <v>45953</v>
      </c>
      <c r="G52" s="42" t="n">
        <v>1</v>
      </c>
      <c r="H52" s="42" t="s">
        <v>639</v>
      </c>
      <c r="I52" s="42" t="s">
        <v>700</v>
      </c>
      <c r="J52" s="42" t="s">
        <v>223</v>
      </c>
      <c r="K52" s="42" t="s">
        <v>222</v>
      </c>
    </row>
    <row r="53" customFormat="false" ht="15" hidden="false" customHeight="false" outlineLevel="0" collapsed="false">
      <c r="A53" s="40" t="s">
        <v>701</v>
      </c>
      <c r="B53" s="40" t="s">
        <v>542</v>
      </c>
      <c r="C53" s="40" t="s">
        <v>688</v>
      </c>
      <c r="D53" s="40" t="s">
        <v>182</v>
      </c>
      <c r="E53" s="41" t="n">
        <f aca="false">WORKDAY('Project Plan'!$B$3,39)</f>
        <v>45954</v>
      </c>
      <c r="F53" s="41" t="n">
        <f aca="false">WORKDAY(E53,0)</f>
        <v>45954</v>
      </c>
      <c r="G53" s="40" t="n">
        <v>1</v>
      </c>
      <c r="H53" s="40" t="s">
        <v>639</v>
      </c>
      <c r="I53" s="40" t="s">
        <v>477</v>
      </c>
      <c r="J53" s="40"/>
      <c r="K53" s="40" t="s">
        <v>226</v>
      </c>
    </row>
    <row r="54" customFormat="false" ht="15" hidden="false" customHeight="false" outlineLevel="0" collapsed="false">
      <c r="A54" s="42" t="s">
        <v>702</v>
      </c>
      <c r="B54" s="42" t="s">
        <v>228</v>
      </c>
      <c r="C54" s="42" t="s">
        <v>688</v>
      </c>
      <c r="D54" s="42" t="s">
        <v>182</v>
      </c>
      <c r="E54" s="43" t="n">
        <f aca="false">WORKDAY('Project Plan'!$B$3,39)</f>
        <v>45954</v>
      </c>
      <c r="F54" s="43" t="n">
        <f aca="false">WORKDAY(E54,0)</f>
        <v>45954</v>
      </c>
      <c r="G54" s="42" t="n">
        <v>0</v>
      </c>
      <c r="H54" s="42" t="s">
        <v>639</v>
      </c>
      <c r="I54" s="42"/>
      <c r="J54" s="42"/>
      <c r="K54" s="42" t="s">
        <v>229</v>
      </c>
    </row>
    <row r="55" customFormat="false" ht="15" hidden="false" customHeight="false" outlineLevel="0" collapsed="false">
      <c r="A55" s="40" t="s">
        <v>703</v>
      </c>
      <c r="B55" s="40" t="s">
        <v>231</v>
      </c>
      <c r="C55" s="40"/>
      <c r="D55" s="40" t="s">
        <v>182</v>
      </c>
      <c r="E55" s="41" t="n">
        <f aca="false">WORKDAY('Project Plan'!$B$3,40)</f>
        <v>45957</v>
      </c>
      <c r="F55" s="41" t="n">
        <f aca="false">WORKDAY(E55,9)</f>
        <v>45968</v>
      </c>
      <c r="G55" s="40" t="n">
        <v>10</v>
      </c>
      <c r="H55" s="40" t="s">
        <v>639</v>
      </c>
      <c r="I55" s="40" t="s">
        <v>704</v>
      </c>
      <c r="J55" s="40" t="s">
        <v>233</v>
      </c>
      <c r="K55" s="40"/>
    </row>
    <row r="56" customFormat="false" ht="15" hidden="false" customHeight="false" outlineLevel="0" collapsed="false">
      <c r="A56" s="42" t="s">
        <v>705</v>
      </c>
      <c r="B56" s="42" t="s">
        <v>545</v>
      </c>
      <c r="C56" s="42" t="s">
        <v>703</v>
      </c>
      <c r="D56" s="42" t="s">
        <v>182</v>
      </c>
      <c r="E56" s="43" t="n">
        <f aca="false">WORKDAY('Project Plan'!$B$3,40)</f>
        <v>45957</v>
      </c>
      <c r="F56" s="43" t="n">
        <f aca="false">WORKDAY(E56,0)</f>
        <v>45957</v>
      </c>
      <c r="G56" s="42" t="n">
        <v>1</v>
      </c>
      <c r="H56" s="42" t="s">
        <v>639</v>
      </c>
      <c r="I56" s="42" t="s">
        <v>659</v>
      </c>
      <c r="J56" s="42"/>
      <c r="K56" s="42" t="s">
        <v>236</v>
      </c>
    </row>
    <row r="57" customFormat="false" ht="15" hidden="false" customHeight="false" outlineLevel="0" collapsed="false">
      <c r="A57" s="40" t="s">
        <v>706</v>
      </c>
      <c r="B57" s="40" t="s">
        <v>546</v>
      </c>
      <c r="C57" s="40" t="s">
        <v>703</v>
      </c>
      <c r="D57" s="40" t="s">
        <v>182</v>
      </c>
      <c r="E57" s="41" t="n">
        <f aca="false">WORKDAY('Project Plan'!$B$3,40)</f>
        <v>45957</v>
      </c>
      <c r="F57" s="41" t="n">
        <f aca="false">WORKDAY(E57,2)</f>
        <v>45959</v>
      </c>
      <c r="G57" s="40" t="n">
        <v>3</v>
      </c>
      <c r="H57" s="40" t="s">
        <v>639</v>
      </c>
      <c r="I57" s="40" t="s">
        <v>530</v>
      </c>
      <c r="J57" s="40" t="s">
        <v>240</v>
      </c>
      <c r="K57" s="40" t="s">
        <v>239</v>
      </c>
    </row>
    <row r="58" customFormat="false" ht="15" hidden="false" customHeight="false" outlineLevel="0" collapsed="false">
      <c r="A58" s="42" t="s">
        <v>707</v>
      </c>
      <c r="B58" s="42" t="s">
        <v>547</v>
      </c>
      <c r="C58" s="42" t="s">
        <v>703</v>
      </c>
      <c r="D58" s="42" t="s">
        <v>182</v>
      </c>
      <c r="E58" s="43" t="n">
        <f aca="false">WORKDAY('Project Plan'!$B$3,43)</f>
        <v>45960</v>
      </c>
      <c r="F58" s="43" t="n">
        <f aca="false">WORKDAY(E58,1)</f>
        <v>45961</v>
      </c>
      <c r="G58" s="42" t="n">
        <v>2</v>
      </c>
      <c r="H58" s="42" t="s">
        <v>639</v>
      </c>
      <c r="I58" s="42" t="s">
        <v>665</v>
      </c>
      <c r="J58" s="42" t="s">
        <v>244</v>
      </c>
      <c r="K58" s="42" t="s">
        <v>243</v>
      </c>
    </row>
    <row r="59" customFormat="false" ht="15" hidden="false" customHeight="false" outlineLevel="0" collapsed="false">
      <c r="A59" s="40" t="s">
        <v>708</v>
      </c>
      <c r="B59" s="40" t="s">
        <v>549</v>
      </c>
      <c r="C59" s="40" t="s">
        <v>703</v>
      </c>
      <c r="D59" s="40" t="s">
        <v>182</v>
      </c>
      <c r="E59" s="41" t="n">
        <f aca="false">WORKDAY('Project Plan'!$B$3,40)</f>
        <v>45957</v>
      </c>
      <c r="F59" s="41" t="n">
        <f aca="false">WORKDAY(E59,2)</f>
        <v>45959</v>
      </c>
      <c r="G59" s="40" t="n">
        <v>3</v>
      </c>
      <c r="H59" s="40" t="s">
        <v>639</v>
      </c>
      <c r="I59" s="40" t="s">
        <v>550</v>
      </c>
      <c r="J59" s="40" t="s">
        <v>248</v>
      </c>
      <c r="K59" s="40" t="s">
        <v>247</v>
      </c>
    </row>
    <row r="60" customFormat="false" ht="15" hidden="false" customHeight="false" outlineLevel="0" collapsed="false">
      <c r="A60" s="42" t="s">
        <v>709</v>
      </c>
      <c r="B60" s="42" t="s">
        <v>551</v>
      </c>
      <c r="C60" s="42" t="s">
        <v>703</v>
      </c>
      <c r="D60" s="42" t="s">
        <v>182</v>
      </c>
      <c r="E60" s="43" t="n">
        <f aca="false">WORKDAY('Project Plan'!$B$3,43)</f>
        <v>45960</v>
      </c>
      <c r="F60" s="43" t="n">
        <f aca="false">WORKDAY(E60,2)</f>
        <v>45964</v>
      </c>
      <c r="G60" s="42" t="n">
        <v>3</v>
      </c>
      <c r="H60" s="42" t="s">
        <v>639</v>
      </c>
      <c r="I60" s="42" t="s">
        <v>550</v>
      </c>
      <c r="J60" s="42"/>
      <c r="K60" s="42" t="s">
        <v>251</v>
      </c>
    </row>
    <row r="61" customFormat="false" ht="15" hidden="false" customHeight="false" outlineLevel="0" collapsed="false">
      <c r="A61" s="40" t="s">
        <v>710</v>
      </c>
      <c r="B61" s="40" t="s">
        <v>552</v>
      </c>
      <c r="C61" s="40" t="s">
        <v>703</v>
      </c>
      <c r="D61" s="40" t="s">
        <v>182</v>
      </c>
      <c r="E61" s="41" t="n">
        <f aca="false">WORKDAY('Project Plan'!$B$3,44)</f>
        <v>45961</v>
      </c>
      <c r="F61" s="41" t="n">
        <f aca="false">WORKDAY(E61,1)</f>
        <v>45964</v>
      </c>
      <c r="G61" s="40" t="n">
        <v>2</v>
      </c>
      <c r="H61" s="40" t="s">
        <v>639</v>
      </c>
      <c r="I61" s="40" t="s">
        <v>711</v>
      </c>
      <c r="J61" s="40" t="s">
        <v>254</v>
      </c>
      <c r="K61" s="40" t="s">
        <v>251</v>
      </c>
    </row>
    <row r="62" customFormat="false" ht="15" hidden="false" customHeight="false" outlineLevel="0" collapsed="false">
      <c r="A62" s="42" t="s">
        <v>712</v>
      </c>
      <c r="B62" s="42" t="s">
        <v>554</v>
      </c>
      <c r="C62" s="42" t="s">
        <v>703</v>
      </c>
      <c r="D62" s="42" t="s">
        <v>182</v>
      </c>
      <c r="E62" s="43" t="n">
        <f aca="false">WORKDAY('Project Plan'!$B$3,42)</f>
        <v>45959</v>
      </c>
      <c r="F62" s="43" t="n">
        <f aca="false">WORKDAY(E62,2)</f>
        <v>45961</v>
      </c>
      <c r="G62" s="42" t="n">
        <v>3</v>
      </c>
      <c r="H62" s="42" t="s">
        <v>639</v>
      </c>
      <c r="I62" s="42" t="s">
        <v>713</v>
      </c>
      <c r="J62" s="42" t="s">
        <v>258</v>
      </c>
      <c r="K62" s="42" t="s">
        <v>239</v>
      </c>
    </row>
    <row r="63" customFormat="false" ht="15" hidden="false" customHeight="false" outlineLevel="0" collapsed="false">
      <c r="A63" s="40" t="s">
        <v>714</v>
      </c>
      <c r="B63" s="40" t="s">
        <v>556</v>
      </c>
      <c r="C63" s="40" t="s">
        <v>703</v>
      </c>
      <c r="D63" s="40" t="s">
        <v>182</v>
      </c>
      <c r="E63" s="41" t="n">
        <f aca="false">WORKDAY('Project Plan'!$B$3,48)</f>
        <v>45967</v>
      </c>
      <c r="F63" s="41" t="n">
        <f aca="false">WORKDAY(E63,0)</f>
        <v>45967</v>
      </c>
      <c r="G63" s="40" t="n">
        <v>1</v>
      </c>
      <c r="H63" s="40" t="s">
        <v>639</v>
      </c>
      <c r="I63" s="40" t="s">
        <v>700</v>
      </c>
      <c r="J63" s="40"/>
      <c r="K63" s="40" t="s">
        <v>261</v>
      </c>
    </row>
    <row r="64" customFormat="false" ht="15" hidden="false" customHeight="false" outlineLevel="0" collapsed="false">
      <c r="A64" s="42" t="s">
        <v>715</v>
      </c>
      <c r="B64" s="42" t="s">
        <v>558</v>
      </c>
      <c r="C64" s="42" t="s">
        <v>703</v>
      </c>
      <c r="D64" s="42" t="s">
        <v>182</v>
      </c>
      <c r="E64" s="43" t="n">
        <f aca="false">WORKDAY('Project Plan'!$B$3,49)</f>
        <v>45968</v>
      </c>
      <c r="F64" s="43" t="n">
        <f aca="false">WORKDAY(E64,0)</f>
        <v>45968</v>
      </c>
      <c r="G64" s="42" t="n">
        <v>1</v>
      </c>
      <c r="H64" s="42" t="s">
        <v>639</v>
      </c>
      <c r="I64" s="42" t="s">
        <v>477</v>
      </c>
      <c r="J64" s="42"/>
      <c r="K64" s="42" t="s">
        <v>264</v>
      </c>
    </row>
    <row r="65" customFormat="false" ht="15" hidden="false" customHeight="false" outlineLevel="0" collapsed="false">
      <c r="A65" s="40" t="s">
        <v>716</v>
      </c>
      <c r="B65" s="40" t="s">
        <v>266</v>
      </c>
      <c r="C65" s="40" t="s">
        <v>703</v>
      </c>
      <c r="D65" s="40" t="s">
        <v>182</v>
      </c>
      <c r="E65" s="41" t="n">
        <f aca="false">WORKDAY('Project Plan'!$B$3,49)</f>
        <v>45968</v>
      </c>
      <c r="F65" s="41" t="n">
        <f aca="false">WORKDAY(E65,0)</f>
        <v>45968</v>
      </c>
      <c r="G65" s="40" t="n">
        <v>0</v>
      </c>
      <c r="H65" s="40" t="s">
        <v>639</v>
      </c>
      <c r="I65" s="40"/>
      <c r="J65" s="40"/>
      <c r="K65" s="40" t="s">
        <v>267</v>
      </c>
    </row>
    <row r="66" customFormat="false" ht="15" hidden="false" customHeight="false" outlineLevel="0" collapsed="false">
      <c r="A66" s="42" t="s">
        <v>717</v>
      </c>
      <c r="B66" s="42" t="s">
        <v>271</v>
      </c>
      <c r="C66" s="42"/>
      <c r="D66" s="42" t="s">
        <v>269</v>
      </c>
      <c r="E66" s="43" t="n">
        <f aca="false">WORKDAY('Project Plan'!$B$3,50)</f>
        <v>45971</v>
      </c>
      <c r="F66" s="43" t="n">
        <f aca="false">WORKDAY(E66,9)</f>
        <v>45982</v>
      </c>
      <c r="G66" s="42" t="n">
        <v>10</v>
      </c>
      <c r="H66" s="42" t="s">
        <v>639</v>
      </c>
      <c r="I66" s="42" t="s">
        <v>718</v>
      </c>
      <c r="J66" s="42" t="s">
        <v>273</v>
      </c>
      <c r="K66" s="42"/>
    </row>
    <row r="67" customFormat="false" ht="15" hidden="false" customHeight="false" outlineLevel="0" collapsed="false">
      <c r="A67" s="40" t="s">
        <v>719</v>
      </c>
      <c r="B67" s="40" t="s">
        <v>560</v>
      </c>
      <c r="C67" s="40" t="s">
        <v>717</v>
      </c>
      <c r="D67" s="40" t="s">
        <v>269</v>
      </c>
      <c r="E67" s="41" t="n">
        <f aca="false">WORKDAY('Project Plan'!$B$3,50)</f>
        <v>45971</v>
      </c>
      <c r="F67" s="41" t="n">
        <f aca="false">WORKDAY(E67,0)</f>
        <v>45971</v>
      </c>
      <c r="G67" s="40" t="n">
        <v>1</v>
      </c>
      <c r="H67" s="40" t="s">
        <v>639</v>
      </c>
      <c r="I67" s="40" t="s">
        <v>659</v>
      </c>
      <c r="J67" s="40"/>
      <c r="K67" s="40" t="s">
        <v>276</v>
      </c>
    </row>
    <row r="68" customFormat="false" ht="15" hidden="false" customHeight="false" outlineLevel="0" collapsed="false">
      <c r="A68" s="42" t="s">
        <v>720</v>
      </c>
      <c r="B68" s="42" t="s">
        <v>561</v>
      </c>
      <c r="C68" s="42" t="s">
        <v>717</v>
      </c>
      <c r="D68" s="42" t="s">
        <v>269</v>
      </c>
      <c r="E68" s="43" t="n">
        <f aca="false">WORKDAY('Project Plan'!$B$3,50)</f>
        <v>45971</v>
      </c>
      <c r="F68" s="43" t="n">
        <f aca="false">WORKDAY(E68,2)</f>
        <v>45973</v>
      </c>
      <c r="G68" s="42" t="n">
        <v>3</v>
      </c>
      <c r="H68" s="42" t="s">
        <v>639</v>
      </c>
      <c r="I68" s="42" t="s">
        <v>713</v>
      </c>
      <c r="J68" s="42" t="s">
        <v>280</v>
      </c>
      <c r="K68" s="42" t="s">
        <v>279</v>
      </c>
    </row>
    <row r="69" customFormat="false" ht="15" hidden="false" customHeight="false" outlineLevel="0" collapsed="false">
      <c r="A69" s="40" t="s">
        <v>721</v>
      </c>
      <c r="B69" s="40" t="s">
        <v>562</v>
      </c>
      <c r="C69" s="40" t="s">
        <v>717</v>
      </c>
      <c r="D69" s="40" t="s">
        <v>269</v>
      </c>
      <c r="E69" s="41" t="n">
        <f aca="false">WORKDAY('Project Plan'!$B$3,50)</f>
        <v>45971</v>
      </c>
      <c r="F69" s="41" t="n">
        <f aca="false">WORKDAY(E69,1)</f>
        <v>45972</v>
      </c>
      <c r="G69" s="40" t="n">
        <v>2</v>
      </c>
      <c r="H69" s="40" t="s">
        <v>639</v>
      </c>
      <c r="I69" s="40" t="s">
        <v>722</v>
      </c>
      <c r="J69" s="40" t="s">
        <v>285</v>
      </c>
      <c r="K69" s="40" t="s">
        <v>283</v>
      </c>
    </row>
    <row r="70" customFormat="false" ht="15" hidden="false" customHeight="false" outlineLevel="0" collapsed="false">
      <c r="A70" s="42" t="s">
        <v>723</v>
      </c>
      <c r="B70" s="42" t="s">
        <v>564</v>
      </c>
      <c r="C70" s="42" t="s">
        <v>717</v>
      </c>
      <c r="D70" s="42" t="s">
        <v>269</v>
      </c>
      <c r="E70" s="43" t="n">
        <f aca="false">WORKDAY('Project Plan'!$B$3,50)</f>
        <v>45971</v>
      </c>
      <c r="F70" s="43" t="n">
        <f aca="false">WORKDAY(E70,0)</f>
        <v>45971</v>
      </c>
      <c r="G70" s="42" t="n">
        <v>1</v>
      </c>
      <c r="H70" s="42" t="s">
        <v>639</v>
      </c>
      <c r="I70" s="42" t="s">
        <v>722</v>
      </c>
      <c r="J70" s="42" t="s">
        <v>288</v>
      </c>
      <c r="K70" s="42" t="s">
        <v>283</v>
      </c>
    </row>
    <row r="71" customFormat="false" ht="15" hidden="false" customHeight="false" outlineLevel="0" collapsed="false">
      <c r="A71" s="40" t="s">
        <v>724</v>
      </c>
      <c r="B71" s="40" t="s">
        <v>566</v>
      </c>
      <c r="C71" s="40" t="s">
        <v>717</v>
      </c>
      <c r="D71" s="40" t="s">
        <v>269</v>
      </c>
      <c r="E71" s="41" t="n">
        <f aca="false">WORKDAY('Project Plan'!$B$3,51)</f>
        <v>45972</v>
      </c>
      <c r="F71" s="41" t="n">
        <f aca="false">WORKDAY(E71,2)</f>
        <v>45974</v>
      </c>
      <c r="G71" s="40" t="n">
        <v>3</v>
      </c>
      <c r="H71" s="40" t="s">
        <v>639</v>
      </c>
      <c r="I71" s="40" t="s">
        <v>698</v>
      </c>
      <c r="J71" s="40" t="s">
        <v>292</v>
      </c>
      <c r="K71" s="40" t="s">
        <v>291</v>
      </c>
    </row>
    <row r="72" customFormat="false" ht="15" hidden="false" customHeight="false" outlineLevel="0" collapsed="false">
      <c r="A72" s="42" t="s">
        <v>725</v>
      </c>
      <c r="B72" s="42" t="s">
        <v>567</v>
      </c>
      <c r="C72" s="42" t="s">
        <v>717</v>
      </c>
      <c r="D72" s="42" t="s">
        <v>269</v>
      </c>
      <c r="E72" s="43" t="n">
        <f aca="false">WORKDAY('Project Plan'!$B$3,53)</f>
        <v>45974</v>
      </c>
      <c r="F72" s="43" t="n">
        <f aca="false">WORKDAY(E72,1)</f>
        <v>45975</v>
      </c>
      <c r="G72" s="42" t="n">
        <v>2</v>
      </c>
      <c r="H72" s="42" t="s">
        <v>639</v>
      </c>
      <c r="I72" s="42" t="s">
        <v>468</v>
      </c>
      <c r="J72" s="42" t="s">
        <v>295</v>
      </c>
      <c r="K72" s="42" t="s">
        <v>283</v>
      </c>
    </row>
    <row r="73" customFormat="false" ht="15" hidden="false" customHeight="false" outlineLevel="0" collapsed="false">
      <c r="A73" s="40" t="s">
        <v>726</v>
      </c>
      <c r="B73" s="40" t="s">
        <v>568</v>
      </c>
      <c r="C73" s="40" t="s">
        <v>717</v>
      </c>
      <c r="D73" s="40" t="s">
        <v>269</v>
      </c>
      <c r="E73" s="41" t="n">
        <f aca="false">WORKDAY('Project Plan'!$B$3,50)</f>
        <v>45971</v>
      </c>
      <c r="F73" s="41" t="n">
        <f aca="false">WORKDAY(E73,0)</f>
        <v>45971</v>
      </c>
      <c r="G73" s="40" t="n">
        <v>1</v>
      </c>
      <c r="H73" s="40" t="s">
        <v>639</v>
      </c>
      <c r="I73" s="40" t="s">
        <v>727</v>
      </c>
      <c r="J73" s="40" t="s">
        <v>299</v>
      </c>
      <c r="K73" s="40" t="s">
        <v>283</v>
      </c>
    </row>
    <row r="74" customFormat="false" ht="15" hidden="false" customHeight="false" outlineLevel="0" collapsed="false">
      <c r="A74" s="42" t="s">
        <v>728</v>
      </c>
      <c r="B74" s="42" t="s">
        <v>570</v>
      </c>
      <c r="C74" s="42" t="s">
        <v>717</v>
      </c>
      <c r="D74" s="42" t="s">
        <v>269</v>
      </c>
      <c r="E74" s="43" t="n">
        <f aca="false">WORKDAY('Project Plan'!$B$3,51)</f>
        <v>45972</v>
      </c>
      <c r="F74" s="43" t="n">
        <f aca="false">WORKDAY(E74,2)</f>
        <v>45974</v>
      </c>
      <c r="G74" s="42" t="n">
        <v>3</v>
      </c>
      <c r="H74" s="42" t="s">
        <v>639</v>
      </c>
      <c r="I74" s="42" t="s">
        <v>729</v>
      </c>
      <c r="J74" s="42" t="s">
        <v>303</v>
      </c>
      <c r="K74" s="42" t="s">
        <v>302</v>
      </c>
    </row>
    <row r="75" customFormat="false" ht="15" hidden="false" customHeight="false" outlineLevel="0" collapsed="false">
      <c r="A75" s="40" t="s">
        <v>730</v>
      </c>
      <c r="B75" s="40" t="s">
        <v>572</v>
      </c>
      <c r="C75" s="40" t="s">
        <v>717</v>
      </c>
      <c r="D75" s="40" t="s">
        <v>269</v>
      </c>
      <c r="E75" s="41" t="n">
        <f aca="false">WORKDAY('Project Plan'!$B$3,58)</f>
        <v>45981</v>
      </c>
      <c r="F75" s="41" t="n">
        <f aca="false">WORKDAY(E75,0)</f>
        <v>45981</v>
      </c>
      <c r="G75" s="40" t="n">
        <v>1</v>
      </c>
      <c r="H75" s="40" t="s">
        <v>639</v>
      </c>
      <c r="I75" s="40" t="s">
        <v>700</v>
      </c>
      <c r="J75" s="40" t="s">
        <v>308</v>
      </c>
      <c r="K75" s="40" t="s">
        <v>306</v>
      </c>
    </row>
    <row r="76" customFormat="false" ht="15" hidden="false" customHeight="false" outlineLevel="0" collapsed="false">
      <c r="A76" s="42" t="s">
        <v>731</v>
      </c>
      <c r="B76" s="42" t="s">
        <v>574</v>
      </c>
      <c r="C76" s="42" t="s">
        <v>717</v>
      </c>
      <c r="D76" s="42" t="s">
        <v>269</v>
      </c>
      <c r="E76" s="43" t="n">
        <f aca="false">WORKDAY('Project Plan'!$B$3,59)</f>
        <v>45982</v>
      </c>
      <c r="F76" s="43" t="n">
        <f aca="false">WORKDAY(E76,0)</f>
        <v>45982</v>
      </c>
      <c r="G76" s="42" t="n">
        <v>1</v>
      </c>
      <c r="H76" s="42" t="s">
        <v>639</v>
      </c>
      <c r="I76" s="42" t="s">
        <v>477</v>
      </c>
      <c r="J76" s="42"/>
      <c r="K76" s="42" t="s">
        <v>311</v>
      </c>
    </row>
    <row r="77" customFormat="false" ht="15" hidden="false" customHeight="false" outlineLevel="0" collapsed="false">
      <c r="A77" s="40" t="s">
        <v>732</v>
      </c>
      <c r="B77" s="40" t="s">
        <v>313</v>
      </c>
      <c r="C77" s="40" t="s">
        <v>717</v>
      </c>
      <c r="D77" s="40" t="s">
        <v>269</v>
      </c>
      <c r="E77" s="41" t="n">
        <f aca="false">WORKDAY('Project Plan'!$B$3,59)</f>
        <v>45982</v>
      </c>
      <c r="F77" s="41" t="n">
        <f aca="false">WORKDAY(E77,0)</f>
        <v>45982</v>
      </c>
      <c r="G77" s="40" t="n">
        <v>0</v>
      </c>
      <c r="H77" s="40" t="s">
        <v>639</v>
      </c>
      <c r="I77" s="40"/>
      <c r="J77" s="40"/>
      <c r="K77" s="40" t="s">
        <v>314</v>
      </c>
    </row>
    <row r="78" customFormat="false" ht="15" hidden="false" customHeight="false" outlineLevel="0" collapsed="false">
      <c r="A78" s="42" t="s">
        <v>733</v>
      </c>
      <c r="B78" s="42" t="s">
        <v>317</v>
      </c>
      <c r="C78" s="42"/>
      <c r="D78" s="42" t="s">
        <v>269</v>
      </c>
      <c r="E78" s="43" t="n">
        <f aca="false">WORKDAY('Project Plan'!$B$3,60)</f>
        <v>45985</v>
      </c>
      <c r="F78" s="43" t="n">
        <f aca="false">WORKDAY(E78,9)</f>
        <v>45996</v>
      </c>
      <c r="G78" s="42" t="n">
        <v>10</v>
      </c>
      <c r="H78" s="42" t="s">
        <v>639</v>
      </c>
      <c r="I78" s="42" t="s">
        <v>734</v>
      </c>
      <c r="J78" s="42" t="s">
        <v>319</v>
      </c>
      <c r="K78" s="42"/>
    </row>
    <row r="79" customFormat="false" ht="15" hidden="false" customHeight="false" outlineLevel="0" collapsed="false">
      <c r="A79" s="40" t="s">
        <v>735</v>
      </c>
      <c r="B79" s="40" t="s">
        <v>576</v>
      </c>
      <c r="C79" s="40" t="s">
        <v>733</v>
      </c>
      <c r="D79" s="40" t="s">
        <v>269</v>
      </c>
      <c r="E79" s="41" t="n">
        <f aca="false">WORKDAY('Project Plan'!$B$3,60)</f>
        <v>45985</v>
      </c>
      <c r="F79" s="41" t="n">
        <f aca="false">WORKDAY(E79,0)</f>
        <v>45985</v>
      </c>
      <c r="G79" s="40" t="n">
        <v>1</v>
      </c>
      <c r="H79" s="40" t="s">
        <v>639</v>
      </c>
      <c r="I79" s="40" t="s">
        <v>659</v>
      </c>
      <c r="J79" s="40"/>
      <c r="K79" s="40" t="s">
        <v>322</v>
      </c>
    </row>
    <row r="80" customFormat="false" ht="15" hidden="false" customHeight="false" outlineLevel="0" collapsed="false">
      <c r="A80" s="42" t="s">
        <v>736</v>
      </c>
      <c r="B80" s="42" t="s">
        <v>577</v>
      </c>
      <c r="C80" s="42" t="s">
        <v>733</v>
      </c>
      <c r="D80" s="42" t="s">
        <v>269</v>
      </c>
      <c r="E80" s="43" t="n">
        <f aca="false">WORKDAY('Project Plan'!$B$3,60)</f>
        <v>45985</v>
      </c>
      <c r="F80" s="43" t="n">
        <f aca="false">WORKDAY(E80,2)</f>
        <v>45987</v>
      </c>
      <c r="G80" s="42" t="n">
        <v>3</v>
      </c>
      <c r="H80" s="42" t="s">
        <v>639</v>
      </c>
      <c r="I80" s="42" t="s">
        <v>737</v>
      </c>
      <c r="J80" s="42" t="s">
        <v>327</v>
      </c>
      <c r="K80" s="42" t="s">
        <v>325</v>
      </c>
    </row>
    <row r="81" customFormat="false" ht="15" hidden="false" customHeight="false" outlineLevel="0" collapsed="false">
      <c r="A81" s="40" t="s">
        <v>738</v>
      </c>
      <c r="B81" s="40" t="s">
        <v>579</v>
      </c>
      <c r="C81" s="40" t="s">
        <v>733</v>
      </c>
      <c r="D81" s="40" t="s">
        <v>269</v>
      </c>
      <c r="E81" s="41" t="n">
        <f aca="false">WORKDAY('Project Plan'!$B$3,63)</f>
        <v>45988</v>
      </c>
      <c r="F81" s="41" t="n">
        <f aca="false">WORKDAY(E81,2)</f>
        <v>45992</v>
      </c>
      <c r="G81" s="40" t="n">
        <v>3</v>
      </c>
      <c r="H81" s="40" t="s">
        <v>639</v>
      </c>
      <c r="I81" s="40" t="s">
        <v>739</v>
      </c>
      <c r="J81" s="40" t="s">
        <v>331</v>
      </c>
      <c r="K81" s="40" t="s">
        <v>330</v>
      </c>
    </row>
    <row r="82" customFormat="false" ht="15" hidden="false" customHeight="false" outlineLevel="0" collapsed="false">
      <c r="A82" s="42" t="s">
        <v>740</v>
      </c>
      <c r="B82" s="42" t="s">
        <v>581</v>
      </c>
      <c r="C82" s="42" t="s">
        <v>733</v>
      </c>
      <c r="D82" s="42" t="s">
        <v>269</v>
      </c>
      <c r="E82" s="43" t="n">
        <f aca="false">WORKDAY('Project Plan'!$B$3,60)</f>
        <v>45985</v>
      </c>
      <c r="F82" s="43" t="n">
        <f aca="false">WORKDAY(E82,3)</f>
        <v>45988</v>
      </c>
      <c r="G82" s="42" t="n">
        <v>4</v>
      </c>
      <c r="H82" s="42" t="s">
        <v>639</v>
      </c>
      <c r="I82" s="42" t="s">
        <v>550</v>
      </c>
      <c r="J82" s="42" t="s">
        <v>335</v>
      </c>
      <c r="K82" s="42" t="s">
        <v>334</v>
      </c>
    </row>
    <row r="83" customFormat="false" ht="15" hidden="false" customHeight="false" outlineLevel="0" collapsed="false">
      <c r="A83" s="40" t="s">
        <v>741</v>
      </c>
      <c r="B83" s="40" t="s">
        <v>582</v>
      </c>
      <c r="C83" s="40" t="s">
        <v>733</v>
      </c>
      <c r="D83" s="40" t="s">
        <v>269</v>
      </c>
      <c r="E83" s="41" t="n">
        <f aca="false">WORKDAY('Project Plan'!$B$3,60)</f>
        <v>45985</v>
      </c>
      <c r="F83" s="41" t="n">
        <f aca="false">WORKDAY(E83,3)</f>
        <v>45988</v>
      </c>
      <c r="G83" s="40" t="n">
        <v>4</v>
      </c>
      <c r="H83" s="40" t="s">
        <v>639</v>
      </c>
      <c r="I83" s="40" t="s">
        <v>646</v>
      </c>
      <c r="J83" s="40" t="s">
        <v>339</v>
      </c>
      <c r="K83" s="40" t="s">
        <v>338</v>
      </c>
    </row>
    <row r="84" customFormat="false" ht="15" hidden="false" customHeight="false" outlineLevel="0" collapsed="false">
      <c r="A84" s="42" t="s">
        <v>742</v>
      </c>
      <c r="B84" s="42" t="s">
        <v>583</v>
      </c>
      <c r="C84" s="42" t="s">
        <v>733</v>
      </c>
      <c r="D84" s="42" t="s">
        <v>269</v>
      </c>
      <c r="E84" s="43" t="n">
        <f aca="false">WORKDAY('Project Plan'!$B$3,64)</f>
        <v>45989</v>
      </c>
      <c r="F84" s="43" t="n">
        <f aca="false">WORKDAY(E84,2)</f>
        <v>45993</v>
      </c>
      <c r="G84" s="42" t="n">
        <v>3</v>
      </c>
      <c r="H84" s="42" t="s">
        <v>639</v>
      </c>
      <c r="I84" s="42" t="s">
        <v>468</v>
      </c>
      <c r="J84" s="42" t="s">
        <v>343</v>
      </c>
      <c r="K84" s="42" t="s">
        <v>342</v>
      </c>
    </row>
    <row r="85" customFormat="false" ht="15" hidden="false" customHeight="false" outlineLevel="0" collapsed="false">
      <c r="A85" s="40" t="s">
        <v>743</v>
      </c>
      <c r="B85" s="40" t="s">
        <v>584</v>
      </c>
      <c r="C85" s="40" t="s">
        <v>733</v>
      </c>
      <c r="D85" s="40" t="s">
        <v>269</v>
      </c>
      <c r="E85" s="41" t="n">
        <f aca="false">WORKDAY('Project Plan'!$B$3,68)</f>
        <v>45995</v>
      </c>
      <c r="F85" s="41" t="n">
        <f aca="false">WORKDAY(E85,0)</f>
        <v>45995</v>
      </c>
      <c r="G85" s="40" t="n">
        <v>1</v>
      </c>
      <c r="H85" s="40" t="s">
        <v>639</v>
      </c>
      <c r="I85" s="40" t="s">
        <v>685</v>
      </c>
      <c r="J85" s="40" t="s">
        <v>347</v>
      </c>
      <c r="K85" s="40" t="s">
        <v>346</v>
      </c>
    </row>
    <row r="86" customFormat="false" ht="15" hidden="false" customHeight="false" outlineLevel="0" collapsed="false">
      <c r="A86" s="42" t="s">
        <v>744</v>
      </c>
      <c r="B86" s="42" t="s">
        <v>586</v>
      </c>
      <c r="C86" s="42" t="s">
        <v>733</v>
      </c>
      <c r="D86" s="42" t="s">
        <v>269</v>
      </c>
      <c r="E86" s="43" t="n">
        <f aca="false">WORKDAY('Project Plan'!$B$3,69)</f>
        <v>45996</v>
      </c>
      <c r="F86" s="43" t="n">
        <f aca="false">WORKDAY(E86,0)</f>
        <v>45996</v>
      </c>
      <c r="G86" s="42" t="n">
        <v>1</v>
      </c>
      <c r="H86" s="42" t="s">
        <v>639</v>
      </c>
      <c r="I86" s="42" t="s">
        <v>477</v>
      </c>
      <c r="J86" s="42"/>
      <c r="K86" s="42" t="s">
        <v>350</v>
      </c>
    </row>
    <row r="87" customFormat="false" ht="15" hidden="false" customHeight="false" outlineLevel="0" collapsed="false">
      <c r="A87" s="40" t="s">
        <v>745</v>
      </c>
      <c r="B87" s="40" t="s">
        <v>352</v>
      </c>
      <c r="C87" s="40" t="s">
        <v>733</v>
      </c>
      <c r="D87" s="40" t="s">
        <v>269</v>
      </c>
      <c r="E87" s="41" t="n">
        <f aca="false">WORKDAY('Project Plan'!$B$3,69)</f>
        <v>45996</v>
      </c>
      <c r="F87" s="41" t="n">
        <f aca="false">WORKDAY(E87,0)</f>
        <v>45996</v>
      </c>
      <c r="G87" s="40" t="n">
        <v>0</v>
      </c>
      <c r="H87" s="40" t="s">
        <v>639</v>
      </c>
      <c r="I87" s="40"/>
      <c r="J87" s="40"/>
      <c r="K87" s="40" t="s">
        <v>353</v>
      </c>
    </row>
    <row r="88" customFormat="false" ht="15" hidden="false" customHeight="false" outlineLevel="0" collapsed="false">
      <c r="A88" s="42" t="s">
        <v>746</v>
      </c>
      <c r="B88" s="42" t="s">
        <v>355</v>
      </c>
      <c r="C88" s="42"/>
      <c r="D88" s="42" t="s">
        <v>354</v>
      </c>
      <c r="E88" s="43" t="n">
        <f aca="false">WORKDAY('Project Plan'!$B$3,70)</f>
        <v>45999</v>
      </c>
      <c r="F88" s="43" t="n">
        <f aca="false">WORKDAY(E88,9)</f>
        <v>46010</v>
      </c>
      <c r="G88" s="42" t="n">
        <v>10</v>
      </c>
      <c r="H88" s="42" t="s">
        <v>639</v>
      </c>
      <c r="I88" s="42" t="s">
        <v>747</v>
      </c>
      <c r="J88" s="42" t="s">
        <v>358</v>
      </c>
      <c r="K88" s="42"/>
    </row>
    <row r="89" customFormat="false" ht="15" hidden="false" customHeight="false" outlineLevel="0" collapsed="false">
      <c r="A89" s="40" t="s">
        <v>748</v>
      </c>
      <c r="B89" s="40" t="s">
        <v>588</v>
      </c>
      <c r="C89" s="40" t="s">
        <v>746</v>
      </c>
      <c r="D89" s="40" t="s">
        <v>354</v>
      </c>
      <c r="E89" s="41" t="n">
        <f aca="false">WORKDAY('Project Plan'!$B$3,70)</f>
        <v>45999</v>
      </c>
      <c r="F89" s="41" t="n">
        <f aca="false">WORKDAY(E89,0)</f>
        <v>45999</v>
      </c>
      <c r="G89" s="40" t="n">
        <v>1</v>
      </c>
      <c r="H89" s="40" t="s">
        <v>639</v>
      </c>
      <c r="I89" s="40" t="s">
        <v>589</v>
      </c>
      <c r="J89" s="40" t="s">
        <v>362</v>
      </c>
      <c r="K89" s="40" t="s">
        <v>361</v>
      </c>
    </row>
    <row r="90" customFormat="false" ht="15" hidden="false" customHeight="false" outlineLevel="0" collapsed="false">
      <c r="A90" s="42" t="s">
        <v>749</v>
      </c>
      <c r="B90" s="42" t="s">
        <v>590</v>
      </c>
      <c r="C90" s="42" t="s">
        <v>746</v>
      </c>
      <c r="D90" s="42" t="s">
        <v>354</v>
      </c>
      <c r="E90" s="43" t="n">
        <f aca="false">WORKDAY('Project Plan'!$B$3,70)</f>
        <v>45999</v>
      </c>
      <c r="F90" s="43" t="n">
        <f aca="false">WORKDAY(E90,0)</f>
        <v>45999</v>
      </c>
      <c r="G90" s="42" t="n">
        <v>1</v>
      </c>
      <c r="H90" s="42" t="s">
        <v>639</v>
      </c>
      <c r="I90" s="42" t="s">
        <v>479</v>
      </c>
      <c r="J90" s="42" t="s">
        <v>366</v>
      </c>
      <c r="K90" s="42" t="s">
        <v>361</v>
      </c>
    </row>
    <row r="91" customFormat="false" ht="15" hidden="false" customHeight="false" outlineLevel="0" collapsed="false">
      <c r="A91" s="40" t="s">
        <v>750</v>
      </c>
      <c r="B91" s="40" t="s">
        <v>592</v>
      </c>
      <c r="C91" s="40" t="s">
        <v>746</v>
      </c>
      <c r="D91" s="40" t="s">
        <v>354</v>
      </c>
      <c r="E91" s="41" t="n">
        <f aca="false">WORKDAY('Project Plan'!$B$3,71)</f>
        <v>46000</v>
      </c>
      <c r="F91" s="41" t="n">
        <f aca="false">WORKDAY(E91,2)</f>
        <v>46002</v>
      </c>
      <c r="G91" s="40" t="n">
        <v>3</v>
      </c>
      <c r="H91" s="40" t="s">
        <v>639</v>
      </c>
      <c r="I91" s="40" t="s">
        <v>665</v>
      </c>
      <c r="J91" s="40" t="s">
        <v>371</v>
      </c>
      <c r="K91" s="40" t="s">
        <v>369</v>
      </c>
    </row>
    <row r="92" customFormat="false" ht="15" hidden="false" customHeight="false" outlineLevel="0" collapsed="false">
      <c r="A92" s="42" t="s">
        <v>751</v>
      </c>
      <c r="B92" s="42" t="s">
        <v>594</v>
      </c>
      <c r="C92" s="42" t="s">
        <v>746</v>
      </c>
      <c r="D92" s="42" t="s">
        <v>354</v>
      </c>
      <c r="E92" s="43" t="n">
        <f aca="false">WORKDAY('Project Plan'!$B$3,71)</f>
        <v>46000</v>
      </c>
      <c r="F92" s="43" t="n">
        <f aca="false">WORKDAY(E92,2)</f>
        <v>46002</v>
      </c>
      <c r="G92" s="42" t="n">
        <v>3</v>
      </c>
      <c r="H92" s="42" t="s">
        <v>639</v>
      </c>
      <c r="I92" s="42" t="s">
        <v>752</v>
      </c>
      <c r="J92" s="42"/>
      <c r="K92" s="42" t="s">
        <v>369</v>
      </c>
    </row>
    <row r="93" customFormat="false" ht="15" hidden="false" customHeight="false" outlineLevel="0" collapsed="false">
      <c r="A93" s="40" t="s">
        <v>753</v>
      </c>
      <c r="B93" s="40" t="s">
        <v>596</v>
      </c>
      <c r="C93" s="40" t="s">
        <v>746</v>
      </c>
      <c r="D93" s="40" t="s">
        <v>354</v>
      </c>
      <c r="E93" s="41" t="n">
        <f aca="false">WORKDAY('Project Plan'!$B$3,71)</f>
        <v>46000</v>
      </c>
      <c r="F93" s="41" t="n">
        <f aca="false">WORKDAY(E93,2)</f>
        <v>46002</v>
      </c>
      <c r="G93" s="40" t="n">
        <v>3</v>
      </c>
      <c r="H93" s="40" t="s">
        <v>639</v>
      </c>
      <c r="I93" s="40" t="s">
        <v>754</v>
      </c>
      <c r="J93" s="40"/>
      <c r="K93" s="40" t="s">
        <v>369</v>
      </c>
    </row>
    <row r="94" customFormat="false" ht="15" hidden="false" customHeight="false" outlineLevel="0" collapsed="false">
      <c r="A94" s="42" t="s">
        <v>755</v>
      </c>
      <c r="B94" s="42" t="s">
        <v>598</v>
      </c>
      <c r="C94" s="42" t="s">
        <v>746</v>
      </c>
      <c r="D94" s="42" t="s">
        <v>354</v>
      </c>
      <c r="E94" s="43" t="n">
        <f aca="false">WORKDAY('Project Plan'!$B$3,72)</f>
        <v>46001</v>
      </c>
      <c r="F94" s="43" t="n">
        <f aca="false">WORKDAY(E94,1)</f>
        <v>46002</v>
      </c>
      <c r="G94" s="42" t="n">
        <v>2</v>
      </c>
      <c r="H94" s="42" t="s">
        <v>639</v>
      </c>
      <c r="I94" s="42" t="s">
        <v>756</v>
      </c>
      <c r="J94" s="42"/>
      <c r="K94" s="42" t="s">
        <v>369</v>
      </c>
    </row>
    <row r="95" customFormat="false" ht="15" hidden="false" customHeight="false" outlineLevel="0" collapsed="false">
      <c r="A95" s="40" t="s">
        <v>757</v>
      </c>
      <c r="B95" s="40" t="s">
        <v>600</v>
      </c>
      <c r="C95" s="40" t="s">
        <v>746</v>
      </c>
      <c r="D95" s="40" t="s">
        <v>354</v>
      </c>
      <c r="E95" s="41" t="n">
        <f aca="false">WORKDAY('Project Plan'!$B$3,74)</f>
        <v>46003</v>
      </c>
      <c r="F95" s="41" t="n">
        <f aca="false">WORKDAY(E95,2)</f>
        <v>46007</v>
      </c>
      <c r="G95" s="40" t="n">
        <v>3</v>
      </c>
      <c r="H95" s="40" t="s">
        <v>639</v>
      </c>
      <c r="I95" s="40" t="s">
        <v>758</v>
      </c>
      <c r="J95" s="40" t="s">
        <v>382</v>
      </c>
      <c r="K95" s="40" t="s">
        <v>381</v>
      </c>
    </row>
    <row r="96" customFormat="false" ht="15" hidden="false" customHeight="false" outlineLevel="0" collapsed="false">
      <c r="A96" s="42" t="s">
        <v>759</v>
      </c>
      <c r="B96" s="42" t="s">
        <v>602</v>
      </c>
      <c r="C96" s="42" t="s">
        <v>746</v>
      </c>
      <c r="D96" s="42" t="s">
        <v>354</v>
      </c>
      <c r="E96" s="43" t="n">
        <f aca="false">WORKDAY('Project Plan'!$B$3,79)</f>
        <v>46010</v>
      </c>
      <c r="F96" s="43" t="n">
        <f aca="false">WORKDAY(E96,0)</f>
        <v>46010</v>
      </c>
      <c r="G96" s="42" t="n">
        <v>1</v>
      </c>
      <c r="H96" s="42" t="s">
        <v>639</v>
      </c>
      <c r="I96" s="42" t="s">
        <v>603</v>
      </c>
      <c r="J96" s="42" t="s">
        <v>386</v>
      </c>
      <c r="K96" s="42" t="s">
        <v>385</v>
      </c>
    </row>
    <row r="97" customFormat="false" ht="15" hidden="false" customHeight="false" outlineLevel="0" collapsed="false">
      <c r="A97" s="40" t="s">
        <v>760</v>
      </c>
      <c r="B97" s="40" t="s">
        <v>388</v>
      </c>
      <c r="C97" s="40" t="s">
        <v>746</v>
      </c>
      <c r="D97" s="40" t="s">
        <v>354</v>
      </c>
      <c r="E97" s="41" t="n">
        <f aca="false">WORKDAY('Project Plan'!$B$3,79)</f>
        <v>46010</v>
      </c>
      <c r="F97" s="41" t="n">
        <f aca="false">WORKDAY(E97,0)</f>
        <v>46010</v>
      </c>
      <c r="G97" s="40" t="n">
        <v>0</v>
      </c>
      <c r="H97" s="40" t="s">
        <v>639</v>
      </c>
      <c r="I97" s="40"/>
      <c r="J97" s="40"/>
      <c r="K97" s="40" t="s">
        <v>389</v>
      </c>
    </row>
    <row r="98" customFormat="false" ht="15" hidden="false" customHeight="false" outlineLevel="0" collapsed="false">
      <c r="A98" s="42" t="s">
        <v>761</v>
      </c>
      <c r="B98" s="42" t="s">
        <v>392</v>
      </c>
      <c r="C98" s="42"/>
      <c r="D98" s="42" t="s">
        <v>391</v>
      </c>
      <c r="E98" s="43" t="n">
        <f aca="false">WORKDAY('Project Plan'!$B$3,80)</f>
        <v>46013</v>
      </c>
      <c r="F98" s="43" t="n">
        <f aca="false">WORKDAY(E98,2)</f>
        <v>46015</v>
      </c>
      <c r="G98" s="42" t="n">
        <v>3</v>
      </c>
      <c r="H98" s="42" t="s">
        <v>639</v>
      </c>
      <c r="I98" s="42" t="s">
        <v>643</v>
      </c>
      <c r="J98" s="42" t="s">
        <v>394</v>
      </c>
      <c r="K98" s="42"/>
    </row>
    <row r="99" customFormat="false" ht="15" hidden="false" customHeight="false" outlineLevel="0" collapsed="false">
      <c r="A99" s="40" t="s">
        <v>762</v>
      </c>
      <c r="B99" s="40" t="s">
        <v>605</v>
      </c>
      <c r="C99" s="40" t="s">
        <v>761</v>
      </c>
      <c r="D99" s="40" t="s">
        <v>391</v>
      </c>
      <c r="E99" s="41" t="n">
        <f aca="false">WORKDAY('Project Plan'!$B$3,80)</f>
        <v>46013</v>
      </c>
      <c r="F99" s="41" t="n">
        <f aca="false">WORKDAY(E99,0)</f>
        <v>46013</v>
      </c>
      <c r="G99" s="40" t="n">
        <v>1</v>
      </c>
      <c r="H99" s="40" t="s">
        <v>639</v>
      </c>
      <c r="I99" s="40" t="s">
        <v>643</v>
      </c>
      <c r="J99" s="40" t="s">
        <v>398</v>
      </c>
      <c r="K99" s="40" t="s">
        <v>397</v>
      </c>
    </row>
    <row r="100" customFormat="false" ht="15" hidden="false" customHeight="false" outlineLevel="0" collapsed="false">
      <c r="A100" s="42" t="s">
        <v>763</v>
      </c>
      <c r="B100" s="42" t="s">
        <v>606</v>
      </c>
      <c r="C100" s="42" t="s">
        <v>761</v>
      </c>
      <c r="D100" s="42" t="s">
        <v>391</v>
      </c>
      <c r="E100" s="43" t="n">
        <f aca="false">WORKDAY('Project Plan'!$B$3,81)</f>
        <v>46014</v>
      </c>
      <c r="F100" s="43" t="n">
        <f aca="false">WORKDAY(E100,0)</f>
        <v>46014</v>
      </c>
      <c r="G100" s="42" t="n">
        <v>1</v>
      </c>
      <c r="H100" s="42" t="s">
        <v>639</v>
      </c>
      <c r="I100" s="42" t="s">
        <v>468</v>
      </c>
      <c r="J100" s="42" t="s">
        <v>402</v>
      </c>
      <c r="K100" s="42" t="s">
        <v>401</v>
      </c>
    </row>
    <row r="101" customFormat="false" ht="15" hidden="false" customHeight="false" outlineLevel="0" collapsed="false">
      <c r="A101" s="40" t="s">
        <v>764</v>
      </c>
      <c r="B101" s="40" t="s">
        <v>404</v>
      </c>
      <c r="C101" s="40" t="s">
        <v>761</v>
      </c>
      <c r="D101" s="40" t="s">
        <v>391</v>
      </c>
      <c r="E101" s="41" t="n">
        <f aca="false">WORKDAY('Project Plan'!$B$3,81)</f>
        <v>46014</v>
      </c>
      <c r="F101" s="41" t="n">
        <f aca="false">WORKDAY(E101,0)</f>
        <v>46014</v>
      </c>
      <c r="G101" s="40" t="n">
        <v>0</v>
      </c>
      <c r="H101" s="40" t="s">
        <v>639</v>
      </c>
      <c r="I101" s="40"/>
      <c r="J101" s="40"/>
      <c r="K101" s="40" t="s">
        <v>405</v>
      </c>
    </row>
    <row r="102" customFormat="false" ht="15" hidden="false" customHeight="false" outlineLevel="0" collapsed="false">
      <c r="A102" s="42" t="s">
        <v>765</v>
      </c>
      <c r="B102" s="42" t="s">
        <v>408</v>
      </c>
      <c r="C102" s="42"/>
      <c r="D102" s="42" t="s">
        <v>407</v>
      </c>
      <c r="E102" s="43" t="n">
        <f aca="false">WORKDAY('Project Plan'!$B$3,82)</f>
        <v>46015</v>
      </c>
      <c r="F102" s="43" t="n">
        <f aca="false">WORKDAY(E102,7)</f>
        <v>46024</v>
      </c>
      <c r="G102" s="42" t="n">
        <v>8</v>
      </c>
      <c r="H102" s="42" t="s">
        <v>639</v>
      </c>
      <c r="I102" s="42" t="s">
        <v>479</v>
      </c>
      <c r="J102" s="42" t="s">
        <v>410</v>
      </c>
      <c r="K102" s="42"/>
    </row>
    <row r="103" customFormat="false" ht="15" hidden="false" customHeight="false" outlineLevel="0" collapsed="false">
      <c r="A103" s="40" t="s">
        <v>766</v>
      </c>
      <c r="B103" s="40" t="s">
        <v>610</v>
      </c>
      <c r="C103" s="40" t="s">
        <v>765</v>
      </c>
      <c r="D103" s="40" t="s">
        <v>407</v>
      </c>
      <c r="E103" s="41" t="n">
        <f aca="false">WORKDAY('Project Plan'!$B$3,82)</f>
        <v>46015</v>
      </c>
      <c r="F103" s="41" t="n">
        <f aca="false">WORKDAY(E103,5)</f>
        <v>46022</v>
      </c>
      <c r="G103" s="40" t="n">
        <v>6</v>
      </c>
      <c r="H103" s="40" t="s">
        <v>639</v>
      </c>
      <c r="I103" s="40" t="s">
        <v>479</v>
      </c>
      <c r="J103" s="40" t="s">
        <v>414</v>
      </c>
      <c r="K103" s="40" t="s">
        <v>413</v>
      </c>
    </row>
    <row r="104" customFormat="false" ht="15" hidden="false" customHeight="false" outlineLevel="0" collapsed="false">
      <c r="A104" s="42" t="s">
        <v>767</v>
      </c>
      <c r="B104" s="42" t="s">
        <v>613</v>
      </c>
      <c r="C104" s="42" t="s">
        <v>765</v>
      </c>
      <c r="D104" s="42" t="s">
        <v>407</v>
      </c>
      <c r="E104" s="43" t="n">
        <f aca="false">WORKDAY('Project Plan'!$B$3,82)</f>
        <v>46015</v>
      </c>
      <c r="F104" s="43" t="n">
        <f aca="false">WORKDAY(E104,3)</f>
        <v>46020</v>
      </c>
      <c r="G104" s="42" t="n">
        <v>4</v>
      </c>
      <c r="H104" s="42" t="s">
        <v>639</v>
      </c>
      <c r="I104" s="42" t="s">
        <v>768</v>
      </c>
      <c r="J104" s="42" t="s">
        <v>418</v>
      </c>
      <c r="K104" s="42" t="s">
        <v>413</v>
      </c>
    </row>
    <row r="105" customFormat="false" ht="15" hidden="false" customHeight="false" outlineLevel="0" collapsed="false">
      <c r="A105" s="40" t="s">
        <v>769</v>
      </c>
      <c r="B105" s="40" t="s">
        <v>615</v>
      </c>
      <c r="C105" s="40" t="s">
        <v>765</v>
      </c>
      <c r="D105" s="40" t="s">
        <v>407</v>
      </c>
      <c r="E105" s="41" t="n">
        <f aca="false">WORKDAY('Project Plan'!$B$3,83)</f>
        <v>46016</v>
      </c>
      <c r="F105" s="41" t="n">
        <f aca="false">WORKDAY(E105,3)</f>
        <v>46021</v>
      </c>
      <c r="G105" s="40" t="n">
        <v>4</v>
      </c>
      <c r="H105" s="40" t="s">
        <v>639</v>
      </c>
      <c r="I105" s="40" t="s">
        <v>589</v>
      </c>
      <c r="J105" s="40" t="s">
        <v>421</v>
      </c>
      <c r="K105" s="40" t="s">
        <v>413</v>
      </c>
    </row>
    <row r="106" customFormat="false" ht="15" hidden="false" customHeight="false" outlineLevel="0" collapsed="false">
      <c r="A106" s="42" t="s">
        <v>770</v>
      </c>
      <c r="B106" s="42" t="s">
        <v>617</v>
      </c>
      <c r="C106" s="42" t="s">
        <v>765</v>
      </c>
      <c r="D106" s="42" t="s">
        <v>407</v>
      </c>
      <c r="E106" s="43" t="n">
        <f aca="false">WORKDAY('Project Plan'!$B$3,87)</f>
        <v>46022</v>
      </c>
      <c r="F106" s="43" t="n">
        <f aca="false">WORKDAY(E106,0)</f>
        <v>46022</v>
      </c>
      <c r="G106" s="42" t="n">
        <v>1</v>
      </c>
      <c r="H106" s="42" t="s">
        <v>639</v>
      </c>
      <c r="I106" s="42" t="s">
        <v>603</v>
      </c>
      <c r="J106" s="42" t="s">
        <v>425</v>
      </c>
      <c r="K106" s="42" t="s">
        <v>424</v>
      </c>
    </row>
    <row r="107" customFormat="false" ht="15" hidden="false" customHeight="false" outlineLevel="0" collapsed="false">
      <c r="A107" s="40" t="s">
        <v>771</v>
      </c>
      <c r="B107" s="40" t="s">
        <v>618</v>
      </c>
      <c r="C107" s="40" t="s">
        <v>765</v>
      </c>
      <c r="D107" s="40" t="s">
        <v>407</v>
      </c>
      <c r="E107" s="41" t="n">
        <f aca="false">WORKDAY('Project Plan'!$B$3,88)</f>
        <v>46023</v>
      </c>
      <c r="F107" s="41" t="n">
        <f aca="false">WORKDAY(E107,0)</f>
        <v>46023</v>
      </c>
      <c r="G107" s="40" t="n">
        <v>1</v>
      </c>
      <c r="H107" s="40" t="s">
        <v>639</v>
      </c>
      <c r="I107" s="40" t="s">
        <v>475</v>
      </c>
      <c r="J107" s="40" t="s">
        <v>429</v>
      </c>
      <c r="K107" s="40" t="s">
        <v>428</v>
      </c>
    </row>
    <row r="108" customFormat="false" ht="15" hidden="false" customHeight="false" outlineLevel="0" collapsed="false">
      <c r="A108" s="42" t="s">
        <v>772</v>
      </c>
      <c r="B108" s="42" t="s">
        <v>620</v>
      </c>
      <c r="C108" s="42" t="s">
        <v>765</v>
      </c>
      <c r="D108" s="42" t="s">
        <v>407</v>
      </c>
      <c r="E108" s="43" t="n">
        <f aca="false">WORKDAY('Project Plan'!$B$3,88)</f>
        <v>46023</v>
      </c>
      <c r="F108" s="43" t="n">
        <f aca="false">WORKDAY(E108,0)</f>
        <v>46023</v>
      </c>
      <c r="G108" s="42" t="n">
        <v>1</v>
      </c>
      <c r="H108" s="42" t="s">
        <v>639</v>
      </c>
      <c r="I108" s="42" t="s">
        <v>621</v>
      </c>
      <c r="J108" s="42" t="s">
        <v>433</v>
      </c>
      <c r="K108" s="42" t="s">
        <v>432</v>
      </c>
    </row>
    <row r="109" customFormat="false" ht="15" hidden="false" customHeight="false" outlineLevel="0" collapsed="false">
      <c r="A109" s="40" t="s">
        <v>773</v>
      </c>
      <c r="B109" s="40" t="s">
        <v>435</v>
      </c>
      <c r="C109" s="40" t="s">
        <v>765</v>
      </c>
      <c r="D109" s="40" t="s">
        <v>407</v>
      </c>
      <c r="E109" s="41" t="n">
        <f aca="false">WORKDAY('Project Plan'!$B$3,89)</f>
        <v>46024</v>
      </c>
      <c r="F109" s="41" t="n">
        <f aca="false">WORKDAY(E109,0)</f>
        <v>46024</v>
      </c>
      <c r="G109" s="40" t="n">
        <v>0</v>
      </c>
      <c r="H109" s="40" t="s">
        <v>639</v>
      </c>
      <c r="I109" s="40"/>
      <c r="J109" s="40"/>
      <c r="K109" s="40" t="s">
        <v>436</v>
      </c>
    </row>
    <row r="110" customFormat="false" ht="15" hidden="false" customHeight="false" outlineLevel="0" collapsed="false">
      <c r="A110" s="42" t="s">
        <v>774</v>
      </c>
      <c r="B110" s="42" t="s">
        <v>622</v>
      </c>
      <c r="C110" s="42"/>
      <c r="D110" s="42" t="s">
        <v>438</v>
      </c>
      <c r="E110" s="43" t="n">
        <f aca="false">WORKDAY('Project Plan'!$B$3,7)</f>
        <v>45910</v>
      </c>
      <c r="F110" s="43" t="n">
        <f aca="false">WORKDAY(E110,0)</f>
        <v>45910</v>
      </c>
      <c r="G110" s="42" t="n">
        <v>1</v>
      </c>
      <c r="H110" s="42" t="s">
        <v>639</v>
      </c>
      <c r="I110" s="42" t="s">
        <v>477</v>
      </c>
      <c r="J110" s="42" t="s">
        <v>441</v>
      </c>
      <c r="K110" s="42" t="s">
        <v>406</v>
      </c>
    </row>
    <row r="111" customFormat="false" ht="15" hidden="false" customHeight="false" outlineLevel="0" collapsed="false">
      <c r="A111" s="40" t="s">
        <v>775</v>
      </c>
      <c r="B111" s="40" t="s">
        <v>623</v>
      </c>
      <c r="C111" s="40"/>
      <c r="D111" s="40" t="s">
        <v>438</v>
      </c>
      <c r="E111" s="41" t="n">
        <f aca="false">WORKDAY('Project Plan'!$B$3,9)</f>
        <v>45912</v>
      </c>
      <c r="F111" s="41" t="n">
        <f aca="false">WORKDAY(E111,0)</f>
        <v>45912</v>
      </c>
      <c r="G111" s="40" t="n">
        <v>1</v>
      </c>
      <c r="H111" s="40" t="s">
        <v>639</v>
      </c>
      <c r="I111" s="40" t="s">
        <v>475</v>
      </c>
      <c r="J111" s="40" t="s">
        <v>444</v>
      </c>
      <c r="K111" s="40" t="s">
        <v>47</v>
      </c>
    </row>
    <row r="112" customFormat="false" ht="15" hidden="false" customHeight="false" outlineLevel="0" collapsed="false">
      <c r="A112" s="42" t="s">
        <v>776</v>
      </c>
      <c r="B112" s="42" t="s">
        <v>624</v>
      </c>
      <c r="C112" s="42"/>
      <c r="D112" s="42" t="s">
        <v>438</v>
      </c>
      <c r="E112" s="43" t="n">
        <f aca="false">WORKDAY('Project Plan'!$B$3,14)</f>
        <v>45919</v>
      </c>
      <c r="F112" s="43" t="n">
        <f aca="false">WORKDAY(E112,0)</f>
        <v>45919</v>
      </c>
      <c r="G112" s="42" t="n">
        <v>1</v>
      </c>
      <c r="H112" s="42" t="s">
        <v>639</v>
      </c>
      <c r="I112" s="42" t="s">
        <v>643</v>
      </c>
      <c r="J112" s="42" t="s">
        <v>448</v>
      </c>
      <c r="K112" s="42" t="s">
        <v>390</v>
      </c>
    </row>
  </sheetData>
  <mergeCells count="1">
    <mergeCell ref="A1:K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6"/>
    <col collapsed="false" customWidth="true" hidden="false" outlineLevel="0" max="3" min="3" style="0" width="12"/>
    <col collapsed="false" customWidth="true" hidden="false" outlineLevel="0" max="4" min="4" style="0" width="60"/>
    <col collapsed="false" customWidth="true" hidden="false" outlineLevel="0" max="5" min="5" style="0" width="28"/>
  </cols>
  <sheetData>
    <row r="1" customFormat="false" ht="25.5" hidden="false" customHeight="true" outlineLevel="0" collapsed="false">
      <c r="A1" s="45" t="s">
        <v>777</v>
      </c>
      <c r="B1" s="45"/>
      <c r="C1" s="45"/>
      <c r="D1" s="45"/>
      <c r="E1" s="45"/>
    </row>
    <row r="2" customFormat="false" ht="19.5" hidden="false" customHeight="true" outlineLevel="0" collapsed="false">
      <c r="A2" s="46" t="s">
        <v>778</v>
      </c>
      <c r="B2" s="46" t="s">
        <v>779</v>
      </c>
      <c r="C2" s="46" t="s">
        <v>780</v>
      </c>
      <c r="D2" s="47" t="s">
        <v>781</v>
      </c>
      <c r="E2" s="46" t="s">
        <v>782</v>
      </c>
    </row>
    <row r="3" customFormat="false" ht="30" hidden="false" customHeight="true" outlineLevel="0" collapsed="false">
      <c r="A3" s="14" t="s">
        <v>24</v>
      </c>
      <c r="B3" s="14" t="s">
        <v>783</v>
      </c>
      <c r="C3" s="14" t="s">
        <v>784</v>
      </c>
      <c r="D3" s="15" t="s">
        <v>785</v>
      </c>
      <c r="E3" s="14" t="s">
        <v>786</v>
      </c>
    </row>
    <row r="4" customFormat="false" ht="30" hidden="false" customHeight="true" outlineLevel="0" collapsed="false">
      <c r="A4" s="19" t="s">
        <v>53</v>
      </c>
      <c r="B4" s="19" t="s">
        <v>787</v>
      </c>
      <c r="C4" s="19" t="s">
        <v>784</v>
      </c>
      <c r="D4" s="20" t="s">
        <v>788</v>
      </c>
      <c r="E4" s="19" t="s">
        <v>786</v>
      </c>
    </row>
    <row r="5" customFormat="false" ht="30" hidden="false" customHeight="true" outlineLevel="0" collapsed="false">
      <c r="A5" s="14" t="s">
        <v>42</v>
      </c>
      <c r="B5" s="14" t="s">
        <v>789</v>
      </c>
      <c r="C5" s="14" t="s">
        <v>784</v>
      </c>
      <c r="D5" s="15" t="s">
        <v>790</v>
      </c>
      <c r="E5" s="14" t="s">
        <v>786</v>
      </c>
    </row>
    <row r="6" customFormat="false" ht="30" hidden="false" customHeight="true" outlineLevel="0" collapsed="false">
      <c r="A6" s="19" t="s">
        <v>52</v>
      </c>
      <c r="B6" s="19" t="s">
        <v>791</v>
      </c>
      <c r="C6" s="19" t="s">
        <v>784</v>
      </c>
      <c r="D6" s="20" t="s">
        <v>792</v>
      </c>
      <c r="E6" s="19" t="s">
        <v>786</v>
      </c>
    </row>
    <row r="7" customFormat="false" ht="30" hidden="false" customHeight="true" outlineLevel="0" collapsed="false">
      <c r="A7" s="14" t="s">
        <v>31</v>
      </c>
      <c r="B7" s="14" t="s">
        <v>793</v>
      </c>
      <c r="C7" s="14" t="s">
        <v>784</v>
      </c>
      <c r="D7" s="15" t="s">
        <v>794</v>
      </c>
      <c r="E7" s="14" t="s">
        <v>795</v>
      </c>
    </row>
    <row r="8" customFormat="false" ht="30" hidden="false" customHeight="true" outlineLevel="0" collapsed="false">
      <c r="A8" s="19" t="s">
        <v>35</v>
      </c>
      <c r="B8" s="19" t="s">
        <v>796</v>
      </c>
      <c r="C8" s="19" t="s">
        <v>797</v>
      </c>
      <c r="D8" s="20" t="s">
        <v>798</v>
      </c>
      <c r="E8" s="19" t="s">
        <v>799</v>
      </c>
    </row>
    <row r="9" customFormat="false" ht="30" hidden="false" customHeight="true" outlineLevel="0" collapsed="false">
      <c r="A9" s="14" t="s">
        <v>36</v>
      </c>
      <c r="B9" s="14" t="s">
        <v>800</v>
      </c>
      <c r="C9" s="14" t="s">
        <v>797</v>
      </c>
      <c r="D9" s="15" t="s">
        <v>801</v>
      </c>
      <c r="E9" s="14" t="s">
        <v>802</v>
      </c>
    </row>
    <row r="10" customFormat="false" ht="30" hidden="false" customHeight="true" outlineLevel="0" collapsed="false">
      <c r="A10" s="19" t="s">
        <v>43</v>
      </c>
      <c r="B10" s="19" t="s">
        <v>803</v>
      </c>
      <c r="C10" s="19" t="s">
        <v>797</v>
      </c>
      <c r="D10" s="20" t="s">
        <v>804</v>
      </c>
      <c r="E10" s="19" t="s">
        <v>805</v>
      </c>
    </row>
    <row r="11" customFormat="false" ht="30" hidden="false" customHeight="true" outlineLevel="0" collapsed="false">
      <c r="A11" s="14" t="s">
        <v>71</v>
      </c>
      <c r="B11" s="14" t="s">
        <v>806</v>
      </c>
      <c r="C11" s="14" t="s">
        <v>797</v>
      </c>
      <c r="D11" s="15" t="s">
        <v>807</v>
      </c>
      <c r="E11" s="14" t="s">
        <v>808</v>
      </c>
    </row>
    <row r="12" customFormat="false" ht="30" hidden="false" customHeight="true" outlineLevel="0" collapsed="false">
      <c r="A12" s="19" t="s">
        <v>117</v>
      </c>
      <c r="B12" s="19" t="s">
        <v>809</v>
      </c>
      <c r="C12" s="19" t="s">
        <v>797</v>
      </c>
      <c r="D12" s="20" t="s">
        <v>810</v>
      </c>
      <c r="E12" s="19" t="s">
        <v>811</v>
      </c>
    </row>
    <row r="13" customFormat="false" ht="30" hidden="false" customHeight="true" outlineLevel="0" collapsed="false">
      <c r="A13" s="14" t="s">
        <v>257</v>
      </c>
      <c r="B13" s="14" t="s">
        <v>812</v>
      </c>
      <c r="C13" s="14" t="s">
        <v>797</v>
      </c>
      <c r="D13" s="15" t="s">
        <v>813</v>
      </c>
      <c r="E13" s="14" t="s">
        <v>814</v>
      </c>
    </row>
    <row r="14" customFormat="false" ht="30" hidden="false" customHeight="true" outlineLevel="0" collapsed="false">
      <c r="A14" s="19" t="s">
        <v>326</v>
      </c>
      <c r="B14" s="19" t="s">
        <v>815</v>
      </c>
      <c r="C14" s="19" t="s">
        <v>797</v>
      </c>
      <c r="D14" s="20" t="s">
        <v>816</v>
      </c>
      <c r="E14" s="19" t="s">
        <v>817</v>
      </c>
    </row>
    <row r="15" customFormat="false" ht="30" hidden="false" customHeight="true" outlineLevel="0" collapsed="false">
      <c r="A15" s="14" t="s">
        <v>370</v>
      </c>
      <c r="B15" s="14" t="s">
        <v>818</v>
      </c>
      <c r="C15" s="14" t="s">
        <v>797</v>
      </c>
      <c r="D15" s="15" t="s">
        <v>819</v>
      </c>
      <c r="E15" s="14" t="s">
        <v>820</v>
      </c>
    </row>
    <row r="18" customFormat="false" ht="15" hidden="false" customHeight="false" outlineLevel="0" collapsed="false">
      <c r="A18" s="48" t="s">
        <v>821</v>
      </c>
    </row>
    <row r="19" customFormat="false" ht="15" hidden="false" customHeight="false" outlineLevel="0" collapsed="false">
      <c r="A19" s="49" t="s">
        <v>822</v>
      </c>
      <c r="B19" s="50" t="s">
        <v>823</v>
      </c>
      <c r="C19" s="51" t="s">
        <v>824</v>
      </c>
    </row>
    <row r="20" customFormat="false" ht="15" hidden="false" customHeight="false" outlineLevel="0" collapsed="false">
      <c r="A20" s="49" t="s">
        <v>825</v>
      </c>
      <c r="B20" s="50" t="s">
        <v>826</v>
      </c>
      <c r="C20" s="51" t="s">
        <v>827</v>
      </c>
    </row>
    <row r="21" customFormat="false" ht="15" hidden="false" customHeight="false" outlineLevel="0" collapsed="false">
      <c r="A21" s="49" t="s">
        <v>828</v>
      </c>
      <c r="B21" s="50" t="s">
        <v>829</v>
      </c>
      <c r="C21" s="51" t="s">
        <v>830</v>
      </c>
    </row>
    <row r="22" customFormat="false" ht="15" hidden="false" customHeight="false" outlineLevel="0" collapsed="false">
      <c r="A22" s="49" t="s">
        <v>831</v>
      </c>
      <c r="B22" s="50" t="s">
        <v>832</v>
      </c>
      <c r="C22" s="51" t="s">
        <v>833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80"/>
    <col collapsed="false" customWidth="true" hidden="false" outlineLevel="0" max="3" min="3" style="0" width="20"/>
  </cols>
  <sheetData>
    <row r="1" customFormat="false" ht="25.5" hidden="false" customHeight="true" outlineLevel="0" collapsed="false">
      <c r="A1" s="45" t="s">
        <v>834</v>
      </c>
      <c r="B1" s="45"/>
      <c r="C1" s="45"/>
    </row>
    <row r="2" customFormat="false" ht="54.75" hidden="false" customHeight="true" outlineLevel="0" collapsed="false">
      <c r="A2" s="52" t="s">
        <v>835</v>
      </c>
      <c r="B2" s="52" t="s">
        <v>836</v>
      </c>
      <c r="C2" s="52" t="s">
        <v>837</v>
      </c>
    </row>
    <row r="3" customFormat="false" ht="54.75" hidden="false" customHeight="true" outlineLevel="0" collapsed="false">
      <c r="A3" s="53" t="s">
        <v>838</v>
      </c>
      <c r="B3" s="54" t="s">
        <v>839</v>
      </c>
      <c r="C3" s="54" t="s">
        <v>840</v>
      </c>
    </row>
    <row r="4" customFormat="false" ht="54.75" hidden="false" customHeight="true" outlineLevel="0" collapsed="false">
      <c r="A4" s="55" t="s">
        <v>841</v>
      </c>
      <c r="B4" s="56" t="s">
        <v>842</v>
      </c>
      <c r="C4" s="56" t="s">
        <v>843</v>
      </c>
    </row>
    <row r="5" customFormat="false" ht="54.75" hidden="false" customHeight="true" outlineLevel="0" collapsed="false">
      <c r="A5" s="53" t="s">
        <v>844</v>
      </c>
      <c r="B5" s="54" t="s">
        <v>845</v>
      </c>
      <c r="C5" s="54" t="s">
        <v>846</v>
      </c>
    </row>
    <row r="6" customFormat="false" ht="54.75" hidden="false" customHeight="true" outlineLevel="0" collapsed="false">
      <c r="A6" s="55" t="s">
        <v>847</v>
      </c>
      <c r="B6" s="56" t="s">
        <v>848</v>
      </c>
      <c r="C6" s="56" t="s">
        <v>849</v>
      </c>
    </row>
    <row r="7" customFormat="false" ht="54.75" hidden="false" customHeight="true" outlineLevel="0" collapsed="false">
      <c r="A7" s="53" t="s">
        <v>850</v>
      </c>
      <c r="B7" s="54" t="s">
        <v>851</v>
      </c>
      <c r="C7" s="54" t="s">
        <v>852</v>
      </c>
    </row>
    <row r="8" customFormat="false" ht="54.75" hidden="false" customHeight="true" outlineLevel="0" collapsed="false">
      <c r="A8" s="55" t="s">
        <v>853</v>
      </c>
      <c r="B8" s="56" t="s">
        <v>854</v>
      </c>
      <c r="C8" s="56" t="s">
        <v>855</v>
      </c>
    </row>
    <row r="9" customFormat="false" ht="54.75" hidden="false" customHeight="true" outlineLevel="0" collapsed="false">
      <c r="A9" s="53" t="s">
        <v>856</v>
      </c>
      <c r="B9" s="54" t="s">
        <v>857</v>
      </c>
      <c r="C9" s="54" t="s">
        <v>858</v>
      </c>
    </row>
    <row r="10" customFormat="false" ht="54.75" hidden="false" customHeight="true" outlineLevel="0" collapsed="false">
      <c r="A10" s="55" t="s">
        <v>859</v>
      </c>
      <c r="B10" s="56" t="s">
        <v>860</v>
      </c>
      <c r="C10" s="56" t="s">
        <v>861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2026-05-12T15:52:41Z</dcterms:created>
  <dc:creator>openpyxl</dc:creator>
  <dc:description/>
  <dc:language>en-US</dc:language>
  <cp:lastModifiedBy/>
  <dcterms:modified xsi:type="dcterms:W3CDTF">2026-05-12T15:52:42Z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