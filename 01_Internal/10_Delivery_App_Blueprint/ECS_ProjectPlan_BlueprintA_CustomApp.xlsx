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" sheetId="1" state="visible" r:id="rId3"/>
    <sheet name="Resource Summary" sheetId="2" state="visible" r:id="rId4"/>
    <sheet name="Import 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<sst xmlns="http://schemas.openxmlformats.org/spreadsheetml/2006/main" count="744" uniqueCount="444">
  <si>
    <t xml:space="preserve">ECS DELIVERY INTELLIGENCE PLATFORM — BLUEPRINT A (FULL CUSTOM APP)   |   PROJECT PLAN   |   START: 01 JUN 2026   |   INTERNAL</t>
  </si>
  <si>
    <t xml:space="preserve">ID</t>
  </si>
  <si>
    <t xml:space="preserve">WBS</t>
  </si>
  <si>
    <t xml:space="preserve">Task Name</t>
  </si>
  <si>
    <t xml:space="preserve">Outline
Level</t>
  </si>
  <si>
    <t xml:space="preserve">Duration
(Days)</t>
  </si>
  <si>
    <t xml:space="preserve">Start Date</t>
  </si>
  <si>
    <t xml:space="preserve">End Date</t>
  </si>
  <si>
    <t xml:space="preserve">Predecessors</t>
  </si>
  <si>
    <t xml:space="preserve">Resource</t>
  </si>
  <si>
    <t xml:space="preserve">Planned
Hours</t>
  </si>
  <si>
    <t xml:space="preserve">Milestone</t>
  </si>
  <si>
    <t xml:space="preserve">Phase</t>
  </si>
  <si>
    <t xml:space="preserve">Notes</t>
  </si>
  <si>
    <t xml:space="preserve">0</t>
  </si>
  <si>
    <t xml:space="preserve">PRE-BUILD &amp; DECISION</t>
  </si>
  <si>
    <t xml:space="preserve">Y</t>
  </si>
  <si>
    <t xml:space="preserve">Phase 0</t>
  </si>
  <si>
    <t xml:space="preserve">Architecture decision, PDI provision, team assignment</t>
  </si>
  <si>
    <t xml:space="preserve">0.1</t>
  </si>
  <si>
    <t xml:space="preserve">    Architecture decision — Blueprint A or B</t>
  </si>
  <si>
    <t xml:space="preserve">Senior Director; Shawn</t>
  </si>
  <si>
    <t xml:space="preserve">N</t>
  </si>
  <si>
    <t xml:space="preserve">Review blueprints; confirm custom app approach</t>
  </si>
  <si>
    <t xml:space="preserve">0.2</t>
  </si>
  <si>
    <t xml:space="preserve">    Assign lead developer / app developer</t>
  </si>
  <si>
    <t xml:space="preserve">2</t>
  </si>
  <si>
    <t xml:space="preserve">Senior Director</t>
  </si>
  <si>
    <t xml:space="preserve">Dedicated developer resource confirmed</t>
  </si>
  <si>
    <t xml:space="preserve">0.3</t>
  </si>
  <si>
    <t xml:space="preserve">    Provision Personal Developer Instance (PDI)</t>
  </si>
  <si>
    <t xml:space="preserve">3</t>
  </si>
  <si>
    <t xml:space="preserve">Shawn; Lead Developer</t>
  </si>
  <si>
    <t xml:space="preserve">PDI request through ServiceNow partner portal</t>
  </si>
  <si>
    <t xml:space="preserve">0.4</t>
  </si>
  <si>
    <t xml:space="preserve">    ServiceNow ISV/Partner program — initiate</t>
  </si>
  <si>
    <t xml:space="preserve">Senior Director; Practice Manager</t>
  </si>
  <si>
    <t xml:space="preserve">Begin ISV enrollment; runs parallel to build</t>
  </si>
  <si>
    <t xml:space="preserve">0.5</t>
  </si>
  <si>
    <t xml:space="preserve">    Phase 0 complete — PDI live, team confirmed</t>
  </si>
  <si>
    <t xml:space="preserve">4</t>
  </si>
  <si>
    <t xml:space="preserve">Milestone: all pre-conditions met</t>
  </si>
  <si>
    <t xml:space="preserve">1</t>
  </si>
  <si>
    <t xml:space="preserve">PHASE 1 — APPLICATION FOUNDATION</t>
  </si>
  <si>
    <t xml:space="preserve">6</t>
  </si>
  <si>
    <t xml:space="preserve">Phase 1</t>
  </si>
  <si>
    <t xml:space="preserve">Weeks 1–5: scoped app, custom tables, roles, update set</t>
  </si>
  <si>
    <t xml:space="preserve">1.1</t>
  </si>
  <si>
    <t xml:space="preserve">    Application Scope Setup</t>
  </si>
  <si>
    <t xml:space="preserve">Lead Developer</t>
  </si>
  <si>
    <t xml:space="preserve">Create scoped app in Studio; set up GitHub source control</t>
  </si>
  <si>
    <t xml:space="preserve">1.1.1</t>
  </si>
  <si>
    <t xml:space="preserve">        Create scoped application in Studio</t>
  </si>
  <si>
    <t xml:space="preserve">App scope: x_everforth_ecs_dip</t>
  </si>
  <si>
    <t xml:space="preserve">1.1.2</t>
  </si>
  <si>
    <t xml:space="preserve">        Define application identity and metadata</t>
  </si>
  <si>
    <t xml:space="preserve">9</t>
  </si>
  <si>
    <t xml:space="preserve">Version, vendor, description</t>
  </si>
  <si>
    <t xml:space="preserve">1.1.3</t>
  </si>
  <si>
    <t xml:space="preserve">        Configure source control (GitHub)</t>
  </si>
  <si>
    <t xml:space="preserve">10</t>
  </si>
  <si>
    <t xml:space="preserve">Studio GitHub integration</t>
  </si>
  <si>
    <t xml:space="preserve">1.1.4</t>
  </si>
  <si>
    <t xml:space="preserve">        Create application roles (5 internal + 4 customer)</t>
  </si>
  <si>
    <t xml:space="preserve">Lead Developer; Delivery Manager</t>
  </si>
  <si>
    <t xml:space="preserve">ecs_practice_leader, ecs_delivery_mgr, ecs_architect, ecs_consultant, customer roles</t>
  </si>
  <si>
    <t xml:space="preserve">1.2</t>
  </si>
  <si>
    <t xml:space="preserve">    Custom Table Creation</t>
  </si>
  <si>
    <t xml:space="preserve">8</t>
  </si>
  <si>
    <t xml:space="preserve">All 5 core custom tables with fields and relationships</t>
  </si>
  <si>
    <t xml:space="preserve">1.2.1</t>
  </si>
  <si>
    <t xml:space="preserve">        Engagement table [x_ecs_dip_engagement]</t>
  </si>
  <si>
    <t xml:space="preserve">12 fields per blueprint data model</t>
  </si>
  <si>
    <t xml:space="preserve">1.2.2</t>
  </si>
  <si>
    <t xml:space="preserve">        Sprint Gate table [x_ecs_dip_sprint_gate]</t>
  </si>
  <si>
    <t xml:space="preserve">14</t>
  </si>
  <si>
    <t xml:space="preserve">13 fields including calculated velocity fields</t>
  </si>
  <si>
    <t xml:space="preserve">1.2.3</t>
  </si>
  <si>
    <t xml:space="preserve">        Risk/Issue table [x_ecs_dip_risk]</t>
  </si>
  <si>
    <t xml:space="preserve">15</t>
  </si>
  <si>
    <t xml:space="preserve">10 fields; workflow state</t>
  </si>
  <si>
    <t xml:space="preserve">1.2.4</t>
  </si>
  <si>
    <t xml:space="preserve">        Decision Record table [x_ecs_dip_decision]</t>
  </si>
  <si>
    <t xml:space="preserve">16</t>
  </si>
  <si>
    <t xml:space="preserve">9 fields; approval workflow</t>
  </si>
  <si>
    <t xml:space="preserve">1.2.5</t>
  </si>
  <si>
    <t xml:space="preserve">        Methodology Content table [x_ecs_dip_content]</t>
  </si>
  <si>
    <t xml:space="preserve">17</t>
  </si>
  <si>
    <t xml:space="preserve">9 fields including multi-value workstream/role/sprint tags</t>
  </si>
  <si>
    <t xml:space="preserve">1.2.6</t>
  </si>
  <si>
    <t xml:space="preserve">        Table relationships and cross-references</t>
  </si>
  <si>
    <t xml:space="preserve">18</t>
  </si>
  <si>
    <t xml:space="preserve">Reference fields, cascade deletes, related lists</t>
  </si>
  <si>
    <t xml:space="preserve">1.3</t>
  </si>
  <si>
    <t xml:space="preserve">    ACL Framework</t>
  </si>
  <si>
    <t xml:space="preserve">13</t>
  </si>
  <si>
    <t xml:space="preserve">ACLs for each table and field per role</t>
  </si>
  <si>
    <t xml:space="preserve">1.3.1</t>
  </si>
  <si>
    <t xml:space="preserve">        Define ACL matrix (table x role)</t>
  </si>
  <si>
    <t xml:space="preserve">Document before coding</t>
  </si>
  <si>
    <t xml:space="preserve">1.3.2</t>
  </si>
  <si>
    <t xml:space="preserve">        Implement and test table-level ACLs</t>
  </si>
  <si>
    <t xml:space="preserve">21</t>
  </si>
  <si>
    <t xml:space="preserve">Create, read, write, delete per role per table</t>
  </si>
  <si>
    <t xml:space="preserve">1.4</t>
  </si>
  <si>
    <t xml:space="preserve">    Basic CRUD UI — Lists and Forms</t>
  </si>
  <si>
    <t xml:space="preserve">Functional list/form views for all tables</t>
  </si>
  <si>
    <t xml:space="preserve">1.4.1</t>
  </si>
  <si>
    <t xml:space="preserve">        List views for all 5 custom tables</t>
  </si>
  <si>
    <t xml:space="preserve">Column selection, filters, row colour coding</t>
  </si>
  <si>
    <t xml:space="preserve">1.4.2</t>
  </si>
  <si>
    <t xml:space="preserve">        Form views — all tables</t>
  </si>
  <si>
    <t xml:space="preserve">24</t>
  </si>
  <si>
    <t xml:space="preserve">Field layout, related lists, UI policies</t>
  </si>
  <si>
    <t xml:space="preserve">1.5</t>
  </si>
  <si>
    <t xml:space="preserve">    Update Set Packaging &amp; Portability Test</t>
  </si>
  <si>
    <t xml:space="preserve">19;22;23</t>
  </si>
  <si>
    <t xml:space="preserve">Lead Developer; Shawn</t>
  </si>
  <si>
    <t xml:space="preserve">Package and test install on clean instance</t>
  </si>
  <si>
    <t xml:space="preserve">1.5.1</t>
  </si>
  <si>
    <t xml:space="preserve">        Configure update set scope</t>
  </si>
  <si>
    <t xml:space="preserve">19</t>
  </si>
  <si>
    <t xml:space="preserve">All components in x_everforth_ecs_dip scope</t>
  </si>
  <si>
    <t xml:space="preserve">1.5.2</t>
  </si>
  <si>
    <t xml:space="preserve">        Test install on clean PDI</t>
  </si>
  <si>
    <t xml:space="preserve">27</t>
  </si>
  <si>
    <t xml:space="preserve">Verify clean install with no dependencies missing</t>
  </si>
  <si>
    <t xml:space="preserve">1.5.3</t>
  </si>
  <si>
    <t xml:space="preserve">        Document installation checklist v1</t>
  </si>
  <si>
    <t xml:space="preserve">28</t>
  </si>
  <si>
    <t xml:space="preserve">Sprint 0 deployment guide</t>
  </si>
  <si>
    <t xml:space="preserve">1.6</t>
  </si>
  <si>
    <t xml:space="preserve">    Phase 1 Milestone — Foundation Complete</t>
  </si>
  <si>
    <t xml:space="preserve">29</t>
  </si>
  <si>
    <t xml:space="preserve">Senior Director; Shawn; Delivery Manager</t>
  </si>
  <si>
    <t xml:space="preserve">Review: all tables, roles, ACLs, portable update set</t>
  </si>
  <si>
    <t xml:space="preserve">PHASE 2 — PORTAL &amp; HEALTH ENGINE</t>
  </si>
  <si>
    <t xml:space="preserve">30</t>
  </si>
  <si>
    <t xml:space="preserve">Phase 2</t>
  </si>
  <si>
    <t xml:space="preserve">Weeks 6–10: Service Portal, health score, notifications</t>
  </si>
  <si>
    <t xml:space="preserve">2.1</t>
  </si>
  <si>
    <t xml:space="preserve">    Service Portal Setup — ECS Theme</t>
  </si>
  <si>
    <t xml:space="preserve">Everforth-branded portal; base theme applied</t>
  </si>
  <si>
    <t xml:space="preserve">2.1.1</t>
  </si>
  <si>
    <t xml:space="preserve">        Create ECS portal (separate from default)</t>
  </si>
  <si>
    <t xml:space="preserve">Distinct portal URL; Everforth branding colours</t>
  </si>
  <si>
    <t xml:space="preserve">2.1.2</t>
  </si>
  <si>
    <t xml:space="preserve">        Base CSS — colours, fonts, logo</t>
  </si>
  <si>
    <t xml:space="preserve">33</t>
  </si>
  <si>
    <t xml:space="preserve">Navy/blue brand; Arial; responsive layout</t>
  </si>
  <si>
    <t xml:space="preserve">2.2</t>
  </si>
  <si>
    <t xml:space="preserve">    Internal Portal Pages</t>
  </si>
  <si>
    <t xml:space="preserve">34</t>
  </si>
  <si>
    <t xml:space="preserve">Consultant, Delivery Manager, Practice Leader pages</t>
  </si>
  <si>
    <t xml:space="preserve">2.2.1</t>
  </si>
  <si>
    <t xml:space="preserve">        Consultant landing page</t>
  </si>
  <si>
    <t xml:space="preserve">My tasks, relevant content, open decisions for my workstream</t>
  </si>
  <si>
    <t xml:space="preserve">2.2.2</t>
  </si>
  <si>
    <t xml:space="preserve">        Delivery Manager dashboard</t>
  </si>
  <si>
    <t xml:space="preserve">36</t>
  </si>
  <si>
    <t xml:space="preserve">Engagement health card, sprint gate timeline, risk/decision summary</t>
  </si>
  <si>
    <t xml:space="preserve">2.2.3</t>
  </si>
  <si>
    <t xml:space="preserve">        Practice Leader roll-up page</t>
  </si>
  <si>
    <t xml:space="preserve">37</t>
  </si>
  <si>
    <t xml:space="preserve">All engagements aggregate view; portfolio health</t>
  </si>
  <si>
    <t xml:space="preserve">2.3</t>
  </si>
  <si>
    <t xml:space="preserve">    Customer Portal Pages</t>
  </si>
  <si>
    <t xml:space="preserve">Sponsor, Project Owner, Process Owner, End User views</t>
  </si>
  <si>
    <t xml:space="preserve">2.3.1</t>
  </si>
  <si>
    <t xml:space="preserve">        Executive Sponsor view</t>
  </si>
  <si>
    <t xml:space="preserve">Health summary, milestones, gate approvals, escalated items</t>
  </si>
  <si>
    <t xml:space="preserve">2.3.2</t>
  </si>
  <si>
    <t xml:space="preserve">        Project Owner view</t>
  </si>
  <si>
    <t xml:space="preserve">40</t>
  </si>
  <si>
    <t xml:space="preserve">Sprint detail, all decisions, risk log, commitments</t>
  </si>
  <si>
    <t xml:space="preserve">2.3.3</t>
  </si>
  <si>
    <t xml:space="preserve">        Process Owner view</t>
  </si>
  <si>
    <t xml:space="preserve">41</t>
  </si>
  <si>
    <t xml:space="preserve">Workstream-scoped content, decisions, workshop pre-reads</t>
  </si>
  <si>
    <t xml:space="preserve">2.3.4</t>
  </si>
  <si>
    <t xml:space="preserve">        End User view</t>
  </si>
  <si>
    <t xml:space="preserve">42</t>
  </si>
  <si>
    <t xml:space="preserve">Read-only: sprint schedule, knowledge articles by role</t>
  </si>
  <si>
    <t xml:space="preserve">2.3.5</t>
  </si>
  <si>
    <t xml:space="preserve">        Customer portal access testing — role validation</t>
  </si>
  <si>
    <t xml:space="preserve">43</t>
  </si>
  <si>
    <t xml:space="preserve">Verify each customer role sees ONLY appropriate data</t>
  </si>
  <si>
    <t xml:space="preserve">2.4</t>
  </si>
  <si>
    <t xml:space="preserve">    Health Score Engine</t>
  </si>
  <si>
    <t xml:space="preserve">Scheduled job calculating 0-100 score from live data</t>
  </si>
  <si>
    <t xml:space="preserve">2.4.1</t>
  </si>
  <si>
    <t xml:space="preserve">        Health score script — velocity component</t>
  </si>
  <si>
    <t xml:space="preserve">40% weight: rm_story completed ÷ committed</t>
  </si>
  <si>
    <t xml:space="preserve">2.4.2</t>
  </si>
  <si>
    <t xml:space="preserve">        Health score script — risk component</t>
  </si>
  <si>
    <t xml:space="preserve">46</t>
  </si>
  <si>
    <t xml:space="preserve">30% weight: open high/medium risk deductions</t>
  </si>
  <si>
    <t xml:space="preserve">2.4.3</t>
  </si>
  <si>
    <t xml:space="preserve">        Health score script — decision latency</t>
  </si>
  <si>
    <t xml:space="preserve">47</t>
  </si>
  <si>
    <t xml:space="preserve">20% weight: overdue/escalated decision deductions</t>
  </si>
  <si>
    <t xml:space="preserve">2.4.4</t>
  </si>
  <si>
    <t xml:space="preserve">        Health score — milestone variance component</t>
  </si>
  <si>
    <t xml:space="preserve">48</t>
  </si>
  <si>
    <t xml:space="preserve">10% weight: SPM milestone date variance</t>
  </si>
  <si>
    <t xml:space="preserve">2.5</t>
  </si>
  <si>
    <t xml:space="preserve">    Notification Framework</t>
  </si>
  <si>
    <t xml:space="preserve">44;45</t>
  </si>
  <si>
    <t xml:space="preserve">Overdue alerts, escalation triggers, gate sign-off requests</t>
  </si>
  <si>
    <t xml:space="preserve">2.5.1</t>
  </si>
  <si>
    <t xml:space="preserve">        Decision overdue notification (5-day rule)</t>
  </si>
  <si>
    <t xml:space="preserve">44</t>
  </si>
  <si>
    <t xml:space="preserve">Flow Designer: daily check; notify owner + DM</t>
  </si>
  <si>
    <t xml:space="preserve">2.5.2</t>
  </si>
  <si>
    <t xml:space="preserve">        Risk escalation trigger</t>
  </si>
  <si>
    <t xml:space="preserve">51</t>
  </si>
  <si>
    <t xml:space="preserve">High risk open &gt; 7 days → escalate to DM</t>
  </si>
  <si>
    <t xml:space="preserve">2.5.3</t>
  </si>
  <si>
    <t xml:space="preserve">        Sprint gate sign-off request workflow</t>
  </si>
  <si>
    <t xml:space="preserve">52</t>
  </si>
  <si>
    <t xml:space="preserve">Flow: DM triggers → approval sent to sponsor</t>
  </si>
  <si>
    <t xml:space="preserve">2.6</t>
  </si>
  <si>
    <t xml:space="preserve">    Phase 2 Milestone — Portal &amp; Health Live</t>
  </si>
  <si>
    <t xml:space="preserve">38;53</t>
  </si>
  <si>
    <t xml:space="preserve">Senior Director; Delivery Manager</t>
  </si>
  <si>
    <t xml:space="preserve">Review: all portal pages, health score, notifications working</t>
  </si>
  <si>
    <t xml:space="preserve">PHASE 3 — NATIVE MODULE INTEGRATIONS</t>
  </si>
  <si>
    <t xml:space="preserve">54</t>
  </si>
  <si>
    <t xml:space="preserve">Phase 3</t>
  </si>
  <si>
    <t xml:space="preserve">Weeks 11–14: Agile, SPM, PA widgets, Virtual Agent</t>
  </si>
  <si>
    <t xml:space="preserve">3.1</t>
  </si>
  <si>
    <t xml:space="preserve">    Agile Development Integration</t>
  </si>
  <si>
    <t xml:space="preserve">Live story/sprint data flowing into Sprint Gate records</t>
  </si>
  <si>
    <t xml:space="preserve">3.1.1</t>
  </si>
  <si>
    <t xml:space="preserve">        Wire Sprint Gate to Agile backlog reference</t>
  </si>
  <si>
    <t xml:space="preserve">Engagement → backlog reference; sprint gate → sprint</t>
  </si>
  <si>
    <t xml:space="preserve">3.1.2</t>
  </si>
  <si>
    <t xml:space="preserve">        Auto-populate committed stories on sprint start</t>
  </si>
  <si>
    <t xml:space="preserve">57</t>
  </si>
  <si>
    <t xml:space="preserve">Business rule or Flow: set committed count at sprint creation</t>
  </si>
  <si>
    <t xml:space="preserve">3.1.3</t>
  </si>
  <si>
    <t xml:space="preserve">        Live velocity calculation from rm_story</t>
  </si>
  <si>
    <t xml:space="preserve">58</t>
  </si>
  <si>
    <t xml:space="preserve">Calculated field: GlideRecord count completed stories</t>
  </si>
  <si>
    <t xml:space="preserve">3.2</t>
  </si>
  <si>
    <t xml:space="preserve">    SPM / PPM Integration</t>
  </si>
  <si>
    <t xml:space="preserve">Milestone variance feeding health score; sponsor timeline</t>
  </si>
  <si>
    <t xml:space="preserve">3.2.1</t>
  </si>
  <si>
    <t xml:space="preserve">        Link Engagement to pm_project record</t>
  </si>
  <si>
    <t xml:space="preserve">Reference field on Engagement table → pm_project</t>
  </si>
  <si>
    <t xml:space="preserve">3.2.2</t>
  </si>
  <si>
    <t xml:space="preserve">        Milestone variance calculation</t>
  </si>
  <si>
    <t xml:space="preserve">61</t>
  </si>
  <si>
    <t xml:space="preserve">Scheduled job: compare planned vs. actual milestone dates</t>
  </si>
  <si>
    <t xml:space="preserve">3.2.3</t>
  </si>
  <si>
    <t xml:space="preserve">        Sponsor portal milestone timeline widget</t>
  </si>
  <si>
    <t xml:space="preserve">62</t>
  </si>
  <si>
    <t xml:space="preserve">Visual milestone list on customer Sponsor portal page</t>
  </si>
  <si>
    <t xml:space="preserve">3.3</t>
  </si>
  <si>
    <t xml:space="preserve">    Performance Analytics (PA) Widgets</t>
  </si>
  <si>
    <t xml:space="preserve">59</t>
  </si>
  <si>
    <t xml:space="preserve">PA data sources, velocity chart, health trend — portal embedded</t>
  </si>
  <si>
    <t xml:space="preserve">3.3.1</t>
  </si>
  <si>
    <t xml:space="preserve">        PA data source — Agile story completion</t>
  </si>
  <si>
    <t xml:space="preserve">PA indicator reading rm_story by sprint</t>
  </si>
  <si>
    <t xml:space="preserve">3.3.2</t>
  </si>
  <si>
    <t xml:space="preserve">        Velocity chart widget (sprint-by-sprint)</t>
  </si>
  <si>
    <t xml:space="preserve">65</t>
  </si>
  <si>
    <t xml:space="preserve">Bar chart: committed vs. completed per sprint</t>
  </si>
  <si>
    <t xml:space="preserve">3.3.3</t>
  </si>
  <si>
    <t xml:space="preserve">        Health score trend widget</t>
  </si>
  <si>
    <t xml:space="preserve">66</t>
  </si>
  <si>
    <t xml:space="preserve">Line chart: health score over engagement duration</t>
  </si>
  <si>
    <t xml:space="preserve">3.4</t>
  </si>
  <si>
    <t xml:space="preserve">    Virtual Agent Integration</t>
  </si>
  <si>
    <t xml:space="preserve">3 VA topics for consultant and customer guidance</t>
  </si>
  <si>
    <t xml:space="preserve">3.4.1</t>
  </si>
  <si>
    <t xml:space="preserve">        VA topic: What do I need this sprint?</t>
  </si>
  <si>
    <t xml:space="preserve">Routes to consultant tasks + relevant content by sprint/role</t>
  </si>
  <si>
    <t xml:space="preserve">3.4.2</t>
  </si>
  <si>
    <t xml:space="preserve">        VA topic: Engagement health summary</t>
  </si>
  <si>
    <t xml:space="preserve">69</t>
  </si>
  <si>
    <t xml:space="preserve">Answers health status questions; shows RAG and key indicators</t>
  </si>
  <si>
    <t xml:space="preserve">3.4.3</t>
  </si>
  <si>
    <t xml:space="preserve">        VA topic: Find methodology content</t>
  </si>
  <si>
    <t xml:space="preserve">70</t>
  </si>
  <si>
    <t xml:space="preserve">Routes to KB articles/guides by workstream and sprint</t>
  </si>
  <si>
    <t xml:space="preserve">3.5</t>
  </si>
  <si>
    <t xml:space="preserve">    Phase 3 Milestone — All Integrations Live</t>
  </si>
  <si>
    <t xml:space="preserve">67;71</t>
  </si>
  <si>
    <t xml:space="preserve">Review: Agile velocity, SPM milestones, PA charts, VA topics</t>
  </si>
  <si>
    <t xml:space="preserve">PHASE 4 — CONTENT, ATF &amp; RELEASE</t>
  </si>
  <si>
    <t xml:space="preserve">72</t>
  </si>
  <si>
    <t xml:space="preserve">Phase 4</t>
  </si>
  <si>
    <t xml:space="preserve">Weeks 15–18: content loading, ATF, Store prep, UAT</t>
  </si>
  <si>
    <t xml:space="preserve">4.1</t>
  </si>
  <si>
    <t xml:space="preserve">    Methodology Content Loading</t>
  </si>
  <si>
    <t xml:space="preserve">Delivery Manager; Content Owner</t>
  </si>
  <si>
    <t xml:space="preserve">All existing ECS collateral loaded into Content table</t>
  </si>
  <si>
    <t xml:space="preserve">4.1.1</t>
  </si>
  <si>
    <t xml:space="preserve">        Tag existing KB articles with ECS metadata</t>
  </si>
  <si>
    <t xml:space="preserve">Content Owner</t>
  </si>
  <si>
    <t xml:space="preserve">Apply content_type, role, sprint, workstream, audience tags</t>
  </si>
  <si>
    <t xml:space="preserve">4.1.2</t>
  </si>
  <si>
    <t xml:space="preserve">        Import How-To Guides to Content table</t>
  </si>
  <si>
    <t xml:space="preserve">75</t>
  </si>
  <si>
    <t xml:space="preserve">Content Owner; Delivery Manager</t>
  </si>
  <si>
    <t xml:space="preserve">All INT-FG, INT-HTG, decision guides, cheatsheets</t>
  </si>
  <si>
    <t xml:space="preserve">4.1.3</t>
  </si>
  <si>
    <t xml:space="preserve">        Import Accelerator Pack READMEs and templates</t>
  </si>
  <si>
    <t xml:space="preserve">76</t>
  </si>
  <si>
    <t xml:space="preserve">All 18 accelerator packs linked from Content records</t>
  </si>
  <si>
    <t xml:space="preserve">4.1.4</t>
  </si>
  <si>
    <t xml:space="preserve">        Test content surfacing by role/sprint on portal</t>
  </si>
  <si>
    <t xml:space="preserve">77</t>
  </si>
  <si>
    <t xml:space="preserve">Delivery Manager; Lead Developer</t>
  </si>
  <si>
    <t xml:space="preserve">Verify right content shows for each role at each sprint</t>
  </si>
  <si>
    <t xml:space="preserve">4.2</t>
  </si>
  <si>
    <t xml:space="preserve">    ATF Test Suite</t>
  </si>
  <si>
    <t xml:space="preserve">QA Engineer; Lead Developer</t>
  </si>
  <si>
    <t xml:space="preserve">80%+ coverage required for ServiceNow Store certification</t>
  </si>
  <si>
    <t xml:space="preserve">4.2.1</t>
  </si>
  <si>
    <t xml:space="preserve">        ATF tests: CRUD operations all tables</t>
  </si>
  <si>
    <t xml:space="preserve">QA Engineer</t>
  </si>
  <si>
    <t xml:space="preserve">Create, read, update, delete per table per role</t>
  </si>
  <si>
    <t xml:space="preserve">4.2.2</t>
  </si>
  <si>
    <t xml:space="preserve">        ATF tests: health score calculation</t>
  </si>
  <si>
    <t xml:space="preserve">80</t>
  </si>
  <si>
    <t xml:space="preserve">Test all four scoring components with edge cases</t>
  </si>
  <si>
    <t xml:space="preserve">4.2.3</t>
  </si>
  <si>
    <t xml:space="preserve">        ATF tests: portal access by role</t>
  </si>
  <si>
    <t xml:space="preserve">81</t>
  </si>
  <si>
    <t xml:space="preserve">Each role sees only their permitted data</t>
  </si>
  <si>
    <t xml:space="preserve">4.2.4</t>
  </si>
  <si>
    <t xml:space="preserve">        ATF tests: notification workflows</t>
  </si>
  <si>
    <t xml:space="preserve">82</t>
  </si>
  <si>
    <t xml:space="preserve">Decision overdue, risk escalation, gate sign-off</t>
  </si>
  <si>
    <t xml:space="preserve">4.2.5</t>
  </si>
  <si>
    <t xml:space="preserve">        ATF coverage report — achieve ≥80%</t>
  </si>
  <si>
    <t xml:space="preserve">83</t>
  </si>
  <si>
    <t xml:space="preserve">Fix gaps; rerun until 80% threshold met</t>
  </si>
  <si>
    <t xml:space="preserve">4.3</t>
  </si>
  <si>
    <t xml:space="preserve">    ServiceNow Store Preparation</t>
  </si>
  <si>
    <t xml:space="preserve">Security scan, remediation, Store listing draft</t>
  </si>
  <si>
    <t xml:space="preserve">4.3.1</t>
  </si>
  <si>
    <t xml:space="preserve">        Security review self-assessment</t>
  </si>
  <si>
    <t xml:space="preserve">Check: no hardcoded creds, scoped ACLs, no global writes</t>
  </si>
  <si>
    <t xml:space="preserve">4.3.2</t>
  </si>
  <si>
    <t xml:space="preserve">        Run ServiceNow automated scanner</t>
  </si>
  <si>
    <t xml:space="preserve">86</t>
  </si>
  <si>
    <t xml:space="preserve">Fix all flagged issues before submission</t>
  </si>
  <si>
    <t xml:space="preserve">4.3.3</t>
  </si>
  <si>
    <t xml:space="preserve">        Draft Store listing (description, screenshots)</t>
  </si>
  <si>
    <t xml:space="preserve">87</t>
  </si>
  <si>
    <t xml:space="preserve">Delivery Manager; Senior Director</t>
  </si>
  <si>
    <t xml:space="preserve">Product description, use case, pricing model placeholder</t>
  </si>
  <si>
    <t xml:space="preserve">4.4</t>
  </si>
  <si>
    <t xml:space="preserve">    Documentation Package</t>
  </si>
  <si>
    <t xml:space="preserve">79</t>
  </si>
  <si>
    <t xml:space="preserve">Installation guide, admin guide, update set checklist</t>
  </si>
  <si>
    <t xml:space="preserve">4.4.1</t>
  </si>
  <si>
    <t xml:space="preserve">        Installation and deployment guide</t>
  </si>
  <si>
    <t xml:space="preserve">Step-by-step Sprint 0 deployment instructions</t>
  </si>
  <si>
    <t xml:space="preserve">4.4.2</t>
  </si>
  <si>
    <t xml:space="preserve">        Admin configuration guide</t>
  </si>
  <si>
    <t xml:space="preserve">90</t>
  </si>
  <si>
    <t xml:space="preserve">How to configure engagement, assign roles, load content</t>
  </si>
  <si>
    <t xml:space="preserve">4.4.3</t>
  </si>
  <si>
    <t xml:space="preserve">        Update set versioning changelog</t>
  </si>
  <si>
    <t xml:space="preserve">91</t>
  </si>
  <si>
    <t xml:space="preserve">v1.0 release notes</t>
  </si>
  <si>
    <t xml:space="preserve">4.5</t>
  </si>
  <si>
    <t xml:space="preserve">    UAT &amp; Pilot on First Engagement</t>
  </si>
  <si>
    <t xml:space="preserve">78;84;88</t>
  </si>
  <si>
    <t xml:space="preserve">Pilot on real engagement; gather feedback</t>
  </si>
  <si>
    <t xml:space="preserve">4.5.1</t>
  </si>
  <si>
    <t xml:space="preserve">        Internal UAT — all roles tested</t>
  </si>
  <si>
    <t xml:space="preserve">84</t>
  </si>
  <si>
    <t xml:space="preserve">Delivery Manager; Consultants</t>
  </si>
  <si>
    <t xml:space="preserve">Run through each portal view with real users</t>
  </si>
  <si>
    <t xml:space="preserve">4.5.2</t>
  </si>
  <si>
    <t xml:space="preserve">        Pilot deployment on first customer instance</t>
  </si>
  <si>
    <t xml:space="preserve">94;90</t>
  </si>
  <si>
    <t xml:space="preserve">Install update set on first real engagement instance</t>
  </si>
  <si>
    <t xml:space="preserve">4.6</t>
  </si>
  <si>
    <t xml:space="preserve">    v1.0 Release &amp; Sign-Off</t>
  </si>
  <si>
    <t xml:space="preserve">92;95</t>
  </si>
  <si>
    <t xml:space="preserve">Blueprint A v1.0 formally released; Store submission initiated</t>
  </si>
  <si>
    <t xml:space="preserve">ECS DELIVERY INTELLIGENCE PLATFORM — BLUEPRINT A   |   RESOURCE &amp; EFFORT SUMMARY</t>
  </si>
  <si>
    <t xml:space="preserve">Hours are estimated billable/working hours for each role. Internal overhead — not charged to client engagements.</t>
  </si>
  <si>
    <t xml:space="preserve">Role</t>
  </si>
  <si>
    <t xml:space="preserve">Engagement Type</t>
  </si>
  <si>
    <t xml:space="preserve">Phase 0
(Hrs)</t>
  </si>
  <si>
    <t xml:space="preserve">Phase 1
(Hrs)</t>
  </si>
  <si>
    <t xml:space="preserve">Phase 2
(Hrs)</t>
  </si>
  <si>
    <t xml:space="preserve">Phase 3
(Hrs)</t>
  </si>
  <si>
    <t xml:space="preserve">Phase 4
(Hrs)</t>
  </si>
  <si>
    <t xml:space="preserve">Total Hours</t>
  </si>
  <si>
    <t xml:space="preserve">FTE Weeks
(@40 hrs)</t>
  </si>
  <si>
    <t xml:space="preserve">Lead Architect / App Developer</t>
  </si>
  <si>
    <t xml:space="preserve">Everforth Internal</t>
  </si>
  <si>
    <t xml:space="preserve">Delivery Manager</t>
  </si>
  <si>
    <t xml:space="preserve">Content / Methodology Owner</t>
  </si>
  <si>
    <t xml:space="preserve">QA / ATF Engineer</t>
  </si>
  <si>
    <t xml:space="preserve">Practice Leader (reviews only)</t>
  </si>
  <si>
    <t xml:space="preserve">TOTAL — ALL ROLES</t>
  </si>
  <si>
    <t xml:space="preserve">NOTES &amp; ASSUMPTIONS</t>
  </si>
  <si>
    <t xml:space="preserve">• Hours are estimates based on blueprint architecture complexity. Actual may vary ±20% based on developer experience with ServiceNow Studio and scoped app development.</t>
  </si>
  <si>
    <t xml:space="preserve">• Lead Architect / App Developer assumed to be a dedicated resource. If shared across engagements, total calendar duration extends proportionally.</t>
  </si>
  <si>
    <t xml:space="preserve">• Phase 4 Content Owner hours assume all existing ECS collateral (handbooks, guides, accelerator packs) is already authored — loading and tagging only.</t>
  </si>
  <si>
    <t xml:space="preserve">• QA Engineer can be a senior developer performing peer QA. ATF test authoring requires ServiceNow ATF knowledge.</t>
  </si>
  <si>
    <t xml:space="preserve">• Practice Leader hours are reviews and approvals at phase milestones only — 4 hours per milestone review.</t>
  </si>
  <si>
    <t xml:space="preserve">• Excludes ServiceNow PDI/instance costs and any ISV partner program fees.</t>
  </si>
  <si>
    <t xml:space="preserve">• FTE Weeks = Total Hours ÷ 40. Does not account for calendar sequencing (phases overlap where resources allow).</t>
  </si>
  <si>
    <t xml:space="preserve">• Blueprint A total is ~1,370–1,400 hours across all roles. Compare to Blueprint B (~960 hours) in the companion spreadsheet.</t>
  </si>
  <si>
    <t xml:space="preserve">HOW TO IMPORT THIS PLAN — MS PROJECT &amp; SERVICENOW PPM</t>
  </si>
  <si>
    <t xml:space="preserve">MICROSOFT PROJECT</t>
  </si>
  <si>
    <t xml:space="preserve">Step 1</t>
  </si>
  <si>
    <t xml:space="preserve">Open Microsoft Project → File → Open → Browse to this Excel file.</t>
  </si>
  <si>
    <t xml:space="preserve">Step 2</t>
  </si>
  <si>
    <t xml:space="preserve">In the Import Wizard: select 'Project Excel Template' or 'Custom'. Map columns as follows:
  Task Name → 'Task Name'  |  Duration (Days) → 'Duration'  |  Start Date → 'Start'
  End Date → 'Finish'  |  Predecessors → 'Predecessors'  |  Resource → 'Resource Names'
  Planned Hours → 'Work'  |  Milestone → 'Milestone'  |  Outline Level → 'Outline Level'</t>
  </si>
  <si>
    <t xml:space="preserve">Step 3</t>
  </si>
  <si>
    <t xml:space="preserve">Set duration units to 'Days' when prompted. Predecessors are Task ID numbers (column A).</t>
  </si>
  <si>
    <t xml:space="preserve">Step 4</t>
  </si>
  <si>
    <t xml:space="preserve">Review imported Gantt chart. Adjust resource calendars and working days as needed for your team.</t>
  </si>
  <si>
    <t xml:space="preserve">Step 5</t>
  </si>
  <si>
    <t xml:space="preserve">Save as .mpp. The WBS column (column B) provides the Work Breakdown Structure hierarchy.</t>
  </si>
  <si>
    <t xml:space="preserve">SERVICENOW PPM</t>
  </si>
  <si>
    <t xml:space="preserve">In ServiceNow, navigate to Strategic Portfolio Management → Projects → Import.</t>
  </si>
  <si>
    <t xml:space="preserve">Use the 'Import Project Tasks from Excel' option (available in SPM Standard and above).</t>
  </si>
  <si>
    <t xml:space="preserve">Map columns:
  Task Name → 'Short Description'  |  Start Date → 'Planned Start Date'
  End Date → 'Planned End Date'  |  Duration (Days) → 'Planned Duration'
  Resource → 'Assigned To' (must be valid usernames in your instance)
  Planned Hours → 'Planned Hours'  |  Notes → 'Description'
  Phase → 'Category' (or create a custom field)</t>
  </si>
  <si>
    <t xml:space="preserve">Create the parent project record first (engagement record). Then import tasks referencing that project.</t>
  </si>
  <si>
    <t xml:space="preserve">Predecessors (column H) use row ID numbers. ServiceNow PPM task dependencies can be set post-import via the Dependency tab.</t>
  </si>
  <si>
    <t xml:space="preserve">Step 6</t>
  </si>
  <si>
    <t xml:space="preserve">Hierarchy: use WBS column to manually set parent-child relationships in SPM task tree after import.</t>
  </si>
  <si>
    <t xml:space="preserve">GENERAL NOTES</t>
  </si>
  <si>
    <t xml:space="preserve">Dates</t>
  </si>
  <si>
    <t xml:space="preserve">All dates assume a project start of Monday 01 June 2026. Adjust by filtering/replacing START date.</t>
  </si>
  <si>
    <t xml:space="preserve">Milestones</t>
  </si>
  <si>
    <t xml:space="preserve">Rows marked 'Y' in the Milestone column are phase gates — map to SPM milestones or MS Project milestones.</t>
  </si>
  <si>
    <t xml:space="preserve">Resources</t>
  </si>
  <si>
    <t xml:space="preserve">Resource names are role titles. Replace with actual team member names before importing.</t>
  </si>
  <si>
    <t xml:space="preserve">Phases</t>
  </si>
  <si>
    <t xml:space="preserve">Phase column is informational — use for grouping/filtering in PPM if needed.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</si>
</sst>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9.5"/>
      <color rgb="FF1B3A6B"/>
      <name val="Arial"/>
      <family val="0"/>
      <charset val="1"/>
    </font>
    <font>
      <i val="true"/>
      <sz val="9"/>
      <color rgb="FF444444"/>
      <name val="Arial"/>
      <family val="0"/>
      <charset val="1"/>
    </font>
    <font>
      <i val="true"/>
      <sz val="9.5"/>
      <color rgb="FF444444"/>
      <name val="Arial"/>
      <family val="0"/>
      <charset val="1"/>
    </font>
    <font>
      <sz val="9.5"/>
      <color rgb="FF555555"/>
      <name val="Arial"/>
      <family val="0"/>
      <charset val="1"/>
    </font>
    <font>
      <b val="true"/>
      <sz val="9.5"/>
      <name val="Arial"/>
      <family val="0"/>
      <charset val="1"/>
    </font>
    <font>
      <sz val="9.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2E75B6"/>
        <bgColor rgb="FF0066CC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9F9F9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2" min="10" style="0" width="10"/>
    <col collapsed="false" customWidth="true" hidden="false" outlineLevel="0" max="13" min="13" style="0" width="4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8" hidden="false" customHeight="true" outlineLevel="0" collapsed="false">
      <c r="A3" s="3" t="n">
        <v>1</v>
      </c>
      <c r="B3" s="4" t="s">
        <v>14</v>
      </c>
      <c r="C3" s="5" t="s">
        <v>15</v>
      </c>
      <c r="D3" s="6" t="n">
        <v>1</v>
      </c>
      <c r="E3" s="6" t="n">
        <v>10</v>
      </c>
      <c r="F3" s="7" t="n">
        <v>46174</v>
      </c>
      <c r="G3" s="7" t="n">
        <v>46185</v>
      </c>
      <c r="H3" s="6"/>
      <c r="I3" s="8"/>
      <c r="J3" s="6"/>
      <c r="K3" s="9" t="s">
        <v>16</v>
      </c>
      <c r="L3" s="10" t="s">
        <v>17</v>
      </c>
      <c r="M3" s="11" t="s">
        <v>18</v>
      </c>
    </row>
    <row r="4" customFormat="false" ht="15" hidden="false" customHeight="true" outlineLevel="0" collapsed="false">
      <c r="A4" s="12" t="n">
        <v>2</v>
      </c>
      <c r="B4" s="13" t="s">
        <v>19</v>
      </c>
      <c r="C4" s="14" t="s">
        <v>20</v>
      </c>
      <c r="D4" s="12" t="n">
        <v>2</v>
      </c>
      <c r="E4" s="12" t="n">
        <v>5</v>
      </c>
      <c r="F4" s="15" t="n">
        <v>46174</v>
      </c>
      <c r="G4" s="15" t="n">
        <v>46178</v>
      </c>
      <c r="H4" s="12"/>
      <c r="I4" s="14" t="s">
        <v>21</v>
      </c>
      <c r="J4" s="12" t="n">
        <v>16</v>
      </c>
      <c r="K4" s="12" t="s">
        <v>22</v>
      </c>
      <c r="L4" s="13" t="s">
        <v>17</v>
      </c>
      <c r="M4" s="16" t="s">
        <v>23</v>
      </c>
    </row>
    <row r="5" customFormat="false" ht="15" hidden="false" customHeight="true" outlineLevel="0" collapsed="false">
      <c r="A5" s="17" t="n">
        <v>3</v>
      </c>
      <c r="B5" s="18" t="s">
        <v>24</v>
      </c>
      <c r="C5" s="19" t="s">
        <v>25</v>
      </c>
      <c r="D5" s="17" t="n">
        <v>2</v>
      </c>
      <c r="E5" s="17" t="n">
        <v>1</v>
      </c>
      <c r="F5" s="20" t="n">
        <v>46181</v>
      </c>
      <c r="G5" s="20" t="n">
        <v>46181</v>
      </c>
      <c r="H5" s="17" t="s">
        <v>26</v>
      </c>
      <c r="I5" s="19" t="s">
        <v>27</v>
      </c>
      <c r="J5" s="17" t="n">
        <v>2</v>
      </c>
      <c r="K5" s="17" t="s">
        <v>22</v>
      </c>
      <c r="L5" s="18" t="s">
        <v>17</v>
      </c>
      <c r="M5" s="21" t="s">
        <v>28</v>
      </c>
    </row>
    <row r="6" customFormat="false" ht="15" hidden="false" customHeight="true" outlineLevel="0" collapsed="false">
      <c r="A6" s="12" t="n">
        <v>4</v>
      </c>
      <c r="B6" s="13" t="s">
        <v>29</v>
      </c>
      <c r="C6" s="14" t="s">
        <v>30</v>
      </c>
      <c r="D6" s="12" t="n">
        <v>2</v>
      </c>
      <c r="E6" s="12" t="n">
        <v>3</v>
      </c>
      <c r="F6" s="15" t="n">
        <v>46182</v>
      </c>
      <c r="G6" s="15" t="n">
        <v>46184</v>
      </c>
      <c r="H6" s="12" t="s">
        <v>31</v>
      </c>
      <c r="I6" s="14" t="s">
        <v>32</v>
      </c>
      <c r="J6" s="12" t="n">
        <v>8</v>
      </c>
      <c r="K6" s="12" t="s">
        <v>22</v>
      </c>
      <c r="L6" s="13" t="s">
        <v>17</v>
      </c>
      <c r="M6" s="16" t="s">
        <v>33</v>
      </c>
    </row>
    <row r="7" customFormat="false" ht="15" hidden="false" customHeight="true" outlineLevel="0" collapsed="false">
      <c r="A7" s="17" t="n">
        <v>5</v>
      </c>
      <c r="B7" s="18" t="s">
        <v>34</v>
      </c>
      <c r="C7" s="19" t="s">
        <v>35</v>
      </c>
      <c r="D7" s="17" t="n">
        <v>2</v>
      </c>
      <c r="E7" s="17" t="n">
        <v>5</v>
      </c>
      <c r="F7" s="20" t="n">
        <v>46182</v>
      </c>
      <c r="G7" s="20" t="n">
        <v>46188</v>
      </c>
      <c r="H7" s="17" t="s">
        <v>31</v>
      </c>
      <c r="I7" s="19" t="s">
        <v>36</v>
      </c>
      <c r="J7" s="17" t="n">
        <v>8</v>
      </c>
      <c r="K7" s="17" t="s">
        <v>22</v>
      </c>
      <c r="L7" s="18" t="s">
        <v>17</v>
      </c>
      <c r="M7" s="21" t="s">
        <v>37</v>
      </c>
    </row>
    <row r="8" customFormat="false" ht="15" hidden="false" customHeight="true" outlineLevel="0" collapsed="false">
      <c r="A8" s="6" t="n">
        <v>6</v>
      </c>
      <c r="B8" s="10" t="s">
        <v>38</v>
      </c>
      <c r="C8" s="8" t="s">
        <v>39</v>
      </c>
      <c r="D8" s="6" t="n">
        <v>2</v>
      </c>
      <c r="E8" s="6" t="n">
        <v>1</v>
      </c>
      <c r="F8" s="7" t="n">
        <v>46185</v>
      </c>
      <c r="G8" s="7" t="n">
        <v>46185</v>
      </c>
      <c r="H8" s="6" t="s">
        <v>40</v>
      </c>
      <c r="I8" s="8" t="s">
        <v>27</v>
      </c>
      <c r="J8" s="6" t="n">
        <v>2</v>
      </c>
      <c r="K8" s="9" t="s">
        <v>16</v>
      </c>
      <c r="L8" s="10" t="s">
        <v>17</v>
      </c>
      <c r="M8" s="11" t="s">
        <v>41</v>
      </c>
    </row>
    <row r="9" customFormat="false" ht="18" hidden="false" customHeight="true" outlineLevel="0" collapsed="false">
      <c r="A9" s="3" t="n">
        <v>7</v>
      </c>
      <c r="B9" s="4" t="s">
        <v>42</v>
      </c>
      <c r="C9" s="5" t="s">
        <v>43</v>
      </c>
      <c r="D9" s="6" t="n">
        <v>1</v>
      </c>
      <c r="E9" s="6" t="n">
        <v>25</v>
      </c>
      <c r="F9" s="7" t="n">
        <v>46188</v>
      </c>
      <c r="G9" s="7" t="n">
        <v>46220</v>
      </c>
      <c r="H9" s="6" t="s">
        <v>44</v>
      </c>
      <c r="I9" s="8"/>
      <c r="J9" s="6"/>
      <c r="K9" s="9" t="s">
        <v>16</v>
      </c>
      <c r="L9" s="10" t="s">
        <v>45</v>
      </c>
      <c r="M9" s="11" t="s">
        <v>46</v>
      </c>
    </row>
    <row r="10" customFormat="false" ht="15" hidden="false" customHeight="true" outlineLevel="0" collapsed="false">
      <c r="A10" s="12" t="n">
        <v>8</v>
      </c>
      <c r="B10" s="13" t="s">
        <v>47</v>
      </c>
      <c r="C10" s="14" t="s">
        <v>48</v>
      </c>
      <c r="D10" s="12" t="n">
        <v>2</v>
      </c>
      <c r="E10" s="12" t="n">
        <v>5</v>
      </c>
      <c r="F10" s="15" t="n">
        <v>46188</v>
      </c>
      <c r="G10" s="15" t="n">
        <v>46192</v>
      </c>
      <c r="H10" s="12" t="s">
        <v>44</v>
      </c>
      <c r="I10" s="14" t="s">
        <v>49</v>
      </c>
      <c r="J10" s="12" t="n">
        <v>40</v>
      </c>
      <c r="K10" s="12" t="s">
        <v>22</v>
      </c>
      <c r="L10" s="13" t="s">
        <v>45</v>
      </c>
      <c r="M10" s="16" t="s">
        <v>50</v>
      </c>
    </row>
    <row r="11" customFormat="false" ht="15" hidden="false" customHeight="true" outlineLevel="0" collapsed="false">
      <c r="A11" s="17" t="n">
        <v>9</v>
      </c>
      <c r="B11" s="18" t="s">
        <v>51</v>
      </c>
      <c r="C11" s="19" t="s">
        <v>52</v>
      </c>
      <c r="D11" s="17" t="n">
        <v>3</v>
      </c>
      <c r="E11" s="17" t="n">
        <v>1</v>
      </c>
      <c r="F11" s="20" t="n">
        <v>46188</v>
      </c>
      <c r="G11" s="20" t="n">
        <v>46188</v>
      </c>
      <c r="H11" s="17" t="s">
        <v>44</v>
      </c>
      <c r="I11" s="19" t="s">
        <v>49</v>
      </c>
      <c r="J11" s="17" t="n">
        <v>8</v>
      </c>
      <c r="K11" s="17" t="s">
        <v>22</v>
      </c>
      <c r="L11" s="18" t="s">
        <v>45</v>
      </c>
      <c r="M11" s="21" t="s">
        <v>53</v>
      </c>
    </row>
    <row r="12" customFormat="false" ht="15" hidden="false" customHeight="true" outlineLevel="0" collapsed="false">
      <c r="A12" s="12" t="n">
        <v>10</v>
      </c>
      <c r="B12" s="13" t="s">
        <v>54</v>
      </c>
      <c r="C12" s="14" t="s">
        <v>55</v>
      </c>
      <c r="D12" s="12" t="n">
        <v>3</v>
      </c>
      <c r="E12" s="12" t="n">
        <v>1</v>
      </c>
      <c r="F12" s="15" t="n">
        <v>46189</v>
      </c>
      <c r="G12" s="15" t="n">
        <v>46189</v>
      </c>
      <c r="H12" s="12" t="s">
        <v>56</v>
      </c>
      <c r="I12" s="14" t="s">
        <v>49</v>
      </c>
      <c r="J12" s="12" t="n">
        <v>4</v>
      </c>
      <c r="K12" s="12" t="s">
        <v>22</v>
      </c>
      <c r="L12" s="13" t="s">
        <v>45</v>
      </c>
      <c r="M12" s="16" t="s">
        <v>57</v>
      </c>
    </row>
    <row r="13" customFormat="false" ht="15" hidden="false" customHeight="true" outlineLevel="0" collapsed="false">
      <c r="A13" s="17" t="n">
        <v>11</v>
      </c>
      <c r="B13" s="18" t="s">
        <v>58</v>
      </c>
      <c r="C13" s="19" t="s">
        <v>59</v>
      </c>
      <c r="D13" s="17" t="n">
        <v>3</v>
      </c>
      <c r="E13" s="17" t="n">
        <v>2</v>
      </c>
      <c r="F13" s="20" t="n">
        <v>46190</v>
      </c>
      <c r="G13" s="20" t="n">
        <v>46191</v>
      </c>
      <c r="H13" s="17" t="s">
        <v>60</v>
      </c>
      <c r="I13" s="19" t="s">
        <v>49</v>
      </c>
      <c r="J13" s="17" t="n">
        <v>8</v>
      </c>
      <c r="K13" s="17" t="s">
        <v>22</v>
      </c>
      <c r="L13" s="18" t="s">
        <v>45</v>
      </c>
      <c r="M13" s="21" t="s">
        <v>61</v>
      </c>
    </row>
    <row r="14" customFormat="false" ht="15" hidden="false" customHeight="true" outlineLevel="0" collapsed="false">
      <c r="A14" s="12" t="n">
        <v>12</v>
      </c>
      <c r="B14" s="13" t="s">
        <v>62</v>
      </c>
      <c r="C14" s="14" t="s">
        <v>63</v>
      </c>
      <c r="D14" s="12" t="n">
        <v>3</v>
      </c>
      <c r="E14" s="12" t="n">
        <v>2</v>
      </c>
      <c r="F14" s="15" t="n">
        <v>46190</v>
      </c>
      <c r="G14" s="15" t="n">
        <v>46191</v>
      </c>
      <c r="H14" s="12" t="s">
        <v>60</v>
      </c>
      <c r="I14" s="14" t="s">
        <v>64</v>
      </c>
      <c r="J14" s="12" t="n">
        <v>8</v>
      </c>
      <c r="K14" s="12" t="s">
        <v>22</v>
      </c>
      <c r="L14" s="13" t="s">
        <v>45</v>
      </c>
      <c r="M14" s="16" t="s">
        <v>65</v>
      </c>
    </row>
    <row r="15" customFormat="false" ht="15" hidden="false" customHeight="true" outlineLevel="0" collapsed="false">
      <c r="A15" s="17" t="n">
        <v>13</v>
      </c>
      <c r="B15" s="18" t="s">
        <v>66</v>
      </c>
      <c r="C15" s="19" t="s">
        <v>67</v>
      </c>
      <c r="D15" s="17" t="n">
        <v>2</v>
      </c>
      <c r="E15" s="17" t="n">
        <v>12</v>
      </c>
      <c r="F15" s="20" t="n">
        <v>46192</v>
      </c>
      <c r="G15" s="20" t="n">
        <v>46209</v>
      </c>
      <c r="H15" s="17" t="s">
        <v>68</v>
      </c>
      <c r="I15" s="19" t="s">
        <v>49</v>
      </c>
      <c r="J15" s="17" t="n">
        <v>120</v>
      </c>
      <c r="K15" s="17" t="s">
        <v>22</v>
      </c>
      <c r="L15" s="18" t="s">
        <v>45</v>
      </c>
      <c r="M15" s="21" t="s">
        <v>69</v>
      </c>
    </row>
    <row r="16" customFormat="false" ht="15" hidden="false" customHeight="true" outlineLevel="0" collapsed="false">
      <c r="A16" s="12" t="n">
        <v>14</v>
      </c>
      <c r="B16" s="13" t="s">
        <v>70</v>
      </c>
      <c r="C16" s="14" t="s">
        <v>71</v>
      </c>
      <c r="D16" s="12" t="n">
        <v>3</v>
      </c>
      <c r="E16" s="12" t="n">
        <v>3</v>
      </c>
      <c r="F16" s="15" t="n">
        <v>46192</v>
      </c>
      <c r="G16" s="15" t="n">
        <v>46196</v>
      </c>
      <c r="H16" s="12" t="s">
        <v>68</v>
      </c>
      <c r="I16" s="14" t="s">
        <v>49</v>
      </c>
      <c r="J16" s="12" t="n">
        <v>20</v>
      </c>
      <c r="K16" s="12" t="s">
        <v>22</v>
      </c>
      <c r="L16" s="13" t="s">
        <v>45</v>
      </c>
      <c r="M16" s="16" t="s">
        <v>72</v>
      </c>
    </row>
    <row r="17" customFormat="false" ht="15" hidden="false" customHeight="true" outlineLevel="0" collapsed="false">
      <c r="A17" s="17" t="n">
        <v>15</v>
      </c>
      <c r="B17" s="18" t="s">
        <v>73</v>
      </c>
      <c r="C17" s="19" t="s">
        <v>74</v>
      </c>
      <c r="D17" s="17" t="n">
        <v>3</v>
      </c>
      <c r="E17" s="17" t="n">
        <v>3</v>
      </c>
      <c r="F17" s="20" t="n">
        <v>46197</v>
      </c>
      <c r="G17" s="20" t="n">
        <v>46199</v>
      </c>
      <c r="H17" s="17" t="s">
        <v>75</v>
      </c>
      <c r="I17" s="19" t="s">
        <v>49</v>
      </c>
      <c r="J17" s="17" t="n">
        <v>20</v>
      </c>
      <c r="K17" s="17" t="s">
        <v>22</v>
      </c>
      <c r="L17" s="18" t="s">
        <v>45</v>
      </c>
      <c r="M17" s="21" t="s">
        <v>76</v>
      </c>
    </row>
    <row r="18" customFormat="false" ht="15" hidden="false" customHeight="true" outlineLevel="0" collapsed="false">
      <c r="A18" s="12" t="n">
        <v>16</v>
      </c>
      <c r="B18" s="13" t="s">
        <v>77</v>
      </c>
      <c r="C18" s="14" t="s">
        <v>78</v>
      </c>
      <c r="D18" s="12" t="n">
        <v>3</v>
      </c>
      <c r="E18" s="12" t="n">
        <v>2</v>
      </c>
      <c r="F18" s="15" t="n">
        <v>46202</v>
      </c>
      <c r="G18" s="15" t="n">
        <v>46203</v>
      </c>
      <c r="H18" s="12" t="s">
        <v>79</v>
      </c>
      <c r="I18" s="14" t="s">
        <v>49</v>
      </c>
      <c r="J18" s="12" t="n">
        <v>16</v>
      </c>
      <c r="K18" s="12" t="s">
        <v>22</v>
      </c>
      <c r="L18" s="13" t="s">
        <v>45</v>
      </c>
      <c r="M18" s="16" t="s">
        <v>80</v>
      </c>
    </row>
    <row r="19" customFormat="false" ht="15" hidden="false" customHeight="true" outlineLevel="0" collapsed="false">
      <c r="A19" s="17" t="n">
        <v>17</v>
      </c>
      <c r="B19" s="18" t="s">
        <v>81</v>
      </c>
      <c r="C19" s="19" t="s">
        <v>82</v>
      </c>
      <c r="D19" s="17" t="n">
        <v>3</v>
      </c>
      <c r="E19" s="17" t="n">
        <v>2</v>
      </c>
      <c r="F19" s="20" t="n">
        <v>46204</v>
      </c>
      <c r="G19" s="20" t="n">
        <v>46205</v>
      </c>
      <c r="H19" s="17" t="s">
        <v>83</v>
      </c>
      <c r="I19" s="19" t="s">
        <v>49</v>
      </c>
      <c r="J19" s="17" t="n">
        <v>16</v>
      </c>
      <c r="K19" s="17" t="s">
        <v>22</v>
      </c>
      <c r="L19" s="18" t="s">
        <v>45</v>
      </c>
      <c r="M19" s="21" t="s">
        <v>84</v>
      </c>
    </row>
    <row r="20" customFormat="false" ht="15" hidden="false" customHeight="true" outlineLevel="0" collapsed="false">
      <c r="A20" s="12" t="n">
        <v>18</v>
      </c>
      <c r="B20" s="13" t="s">
        <v>85</v>
      </c>
      <c r="C20" s="14" t="s">
        <v>86</v>
      </c>
      <c r="D20" s="12" t="n">
        <v>3</v>
      </c>
      <c r="E20" s="12" t="n">
        <v>2</v>
      </c>
      <c r="F20" s="15" t="n">
        <v>46206</v>
      </c>
      <c r="G20" s="15" t="n">
        <v>46209</v>
      </c>
      <c r="H20" s="12" t="s">
        <v>87</v>
      </c>
      <c r="I20" s="14" t="s">
        <v>64</v>
      </c>
      <c r="J20" s="12" t="n">
        <v>16</v>
      </c>
      <c r="K20" s="12" t="s">
        <v>22</v>
      </c>
      <c r="L20" s="13" t="s">
        <v>45</v>
      </c>
      <c r="M20" s="16" t="s">
        <v>88</v>
      </c>
    </row>
    <row r="21" customFormat="false" ht="15" hidden="false" customHeight="true" outlineLevel="0" collapsed="false">
      <c r="A21" s="17" t="n">
        <v>19</v>
      </c>
      <c r="B21" s="18" t="s">
        <v>89</v>
      </c>
      <c r="C21" s="19" t="s">
        <v>90</v>
      </c>
      <c r="D21" s="17" t="n">
        <v>3</v>
      </c>
      <c r="E21" s="17" t="n">
        <v>2</v>
      </c>
      <c r="F21" s="20" t="n">
        <v>46210</v>
      </c>
      <c r="G21" s="20" t="n">
        <v>46211</v>
      </c>
      <c r="H21" s="17" t="s">
        <v>91</v>
      </c>
      <c r="I21" s="19" t="s">
        <v>49</v>
      </c>
      <c r="J21" s="17" t="n">
        <v>16</v>
      </c>
      <c r="K21" s="17" t="s">
        <v>22</v>
      </c>
      <c r="L21" s="18" t="s">
        <v>45</v>
      </c>
      <c r="M21" s="21" t="s">
        <v>92</v>
      </c>
    </row>
    <row r="22" customFormat="false" ht="15" hidden="false" customHeight="true" outlineLevel="0" collapsed="false">
      <c r="A22" s="12" t="n">
        <v>20</v>
      </c>
      <c r="B22" s="13" t="s">
        <v>93</v>
      </c>
      <c r="C22" s="14" t="s">
        <v>94</v>
      </c>
      <c r="D22" s="12" t="n">
        <v>2</v>
      </c>
      <c r="E22" s="12" t="n">
        <v>5</v>
      </c>
      <c r="F22" s="15" t="n">
        <v>46204</v>
      </c>
      <c r="G22" s="15" t="n">
        <v>46210</v>
      </c>
      <c r="H22" s="12" t="s">
        <v>95</v>
      </c>
      <c r="I22" s="14" t="s">
        <v>64</v>
      </c>
      <c r="J22" s="12" t="n">
        <v>40</v>
      </c>
      <c r="K22" s="12" t="s">
        <v>22</v>
      </c>
      <c r="L22" s="13" t="s">
        <v>45</v>
      </c>
      <c r="M22" s="16" t="s">
        <v>96</v>
      </c>
    </row>
    <row r="23" customFormat="false" ht="15" hidden="false" customHeight="true" outlineLevel="0" collapsed="false">
      <c r="A23" s="17" t="n">
        <v>21</v>
      </c>
      <c r="B23" s="18" t="s">
        <v>97</v>
      </c>
      <c r="C23" s="19" t="s">
        <v>98</v>
      </c>
      <c r="D23" s="17" t="n">
        <v>3</v>
      </c>
      <c r="E23" s="17" t="n">
        <v>2</v>
      </c>
      <c r="F23" s="20" t="n">
        <v>46204</v>
      </c>
      <c r="G23" s="20" t="n">
        <v>46205</v>
      </c>
      <c r="H23" s="17" t="s">
        <v>95</v>
      </c>
      <c r="I23" s="19" t="s">
        <v>64</v>
      </c>
      <c r="J23" s="17" t="n">
        <v>8</v>
      </c>
      <c r="K23" s="17" t="s">
        <v>22</v>
      </c>
      <c r="L23" s="18" t="s">
        <v>45</v>
      </c>
      <c r="M23" s="21" t="s">
        <v>99</v>
      </c>
    </row>
    <row r="24" customFormat="false" ht="15" hidden="false" customHeight="true" outlineLevel="0" collapsed="false">
      <c r="A24" s="12" t="n">
        <v>22</v>
      </c>
      <c r="B24" s="13" t="s">
        <v>100</v>
      </c>
      <c r="C24" s="14" t="s">
        <v>101</v>
      </c>
      <c r="D24" s="12" t="n">
        <v>3</v>
      </c>
      <c r="E24" s="12" t="n">
        <v>3</v>
      </c>
      <c r="F24" s="15" t="n">
        <v>46206</v>
      </c>
      <c r="G24" s="15" t="n">
        <v>46210</v>
      </c>
      <c r="H24" s="12" t="s">
        <v>102</v>
      </c>
      <c r="I24" s="14" t="s">
        <v>49</v>
      </c>
      <c r="J24" s="12" t="n">
        <v>24</v>
      </c>
      <c r="K24" s="12" t="s">
        <v>22</v>
      </c>
      <c r="L24" s="13" t="s">
        <v>45</v>
      </c>
      <c r="M24" s="16" t="s">
        <v>103</v>
      </c>
    </row>
    <row r="25" customFormat="false" ht="15" hidden="false" customHeight="true" outlineLevel="0" collapsed="false">
      <c r="A25" s="17" t="n">
        <v>23</v>
      </c>
      <c r="B25" s="18" t="s">
        <v>104</v>
      </c>
      <c r="C25" s="19" t="s">
        <v>105</v>
      </c>
      <c r="D25" s="17" t="n">
        <v>2</v>
      </c>
      <c r="E25" s="17" t="n">
        <v>5</v>
      </c>
      <c r="F25" s="20" t="n">
        <v>46204</v>
      </c>
      <c r="G25" s="20" t="n">
        <v>46210</v>
      </c>
      <c r="H25" s="17" t="s">
        <v>95</v>
      </c>
      <c r="I25" s="19" t="s">
        <v>49</v>
      </c>
      <c r="J25" s="17" t="n">
        <v>40</v>
      </c>
      <c r="K25" s="17" t="s">
        <v>22</v>
      </c>
      <c r="L25" s="18" t="s">
        <v>45</v>
      </c>
      <c r="M25" s="21" t="s">
        <v>106</v>
      </c>
    </row>
    <row r="26" customFormat="false" ht="15" hidden="false" customHeight="true" outlineLevel="0" collapsed="false">
      <c r="A26" s="12" t="n">
        <v>24</v>
      </c>
      <c r="B26" s="13" t="s">
        <v>107</v>
      </c>
      <c r="C26" s="14" t="s">
        <v>108</v>
      </c>
      <c r="D26" s="12" t="n">
        <v>3</v>
      </c>
      <c r="E26" s="12" t="n">
        <v>2</v>
      </c>
      <c r="F26" s="15" t="n">
        <v>46204</v>
      </c>
      <c r="G26" s="15" t="n">
        <v>46205</v>
      </c>
      <c r="H26" s="12" t="s">
        <v>95</v>
      </c>
      <c r="I26" s="14" t="s">
        <v>49</v>
      </c>
      <c r="J26" s="12" t="n">
        <v>16</v>
      </c>
      <c r="K26" s="12" t="s">
        <v>22</v>
      </c>
      <c r="L26" s="13" t="s">
        <v>45</v>
      </c>
      <c r="M26" s="16" t="s">
        <v>109</v>
      </c>
    </row>
    <row r="27" customFormat="false" ht="15" hidden="false" customHeight="true" outlineLevel="0" collapsed="false">
      <c r="A27" s="17" t="n">
        <v>25</v>
      </c>
      <c r="B27" s="18" t="s">
        <v>110</v>
      </c>
      <c r="C27" s="19" t="s">
        <v>111</v>
      </c>
      <c r="D27" s="17" t="n">
        <v>3</v>
      </c>
      <c r="E27" s="17" t="n">
        <v>3</v>
      </c>
      <c r="F27" s="20" t="n">
        <v>46206</v>
      </c>
      <c r="G27" s="20" t="n">
        <v>46210</v>
      </c>
      <c r="H27" s="17" t="s">
        <v>112</v>
      </c>
      <c r="I27" s="19" t="s">
        <v>49</v>
      </c>
      <c r="J27" s="17" t="n">
        <v>24</v>
      </c>
      <c r="K27" s="17" t="s">
        <v>22</v>
      </c>
      <c r="L27" s="18" t="s">
        <v>45</v>
      </c>
      <c r="M27" s="21" t="s">
        <v>113</v>
      </c>
    </row>
    <row r="28" customFormat="false" ht="15" hidden="false" customHeight="true" outlineLevel="0" collapsed="false">
      <c r="A28" s="12" t="n">
        <v>26</v>
      </c>
      <c r="B28" s="13" t="s">
        <v>114</v>
      </c>
      <c r="C28" s="14" t="s">
        <v>115</v>
      </c>
      <c r="D28" s="12" t="n">
        <v>2</v>
      </c>
      <c r="E28" s="12" t="n">
        <v>5</v>
      </c>
      <c r="F28" s="15" t="n">
        <v>46213</v>
      </c>
      <c r="G28" s="15" t="n">
        <v>46219</v>
      </c>
      <c r="H28" s="12" t="s">
        <v>116</v>
      </c>
      <c r="I28" s="14" t="s">
        <v>117</v>
      </c>
      <c r="J28" s="12" t="n">
        <v>32</v>
      </c>
      <c r="K28" s="12" t="s">
        <v>22</v>
      </c>
      <c r="L28" s="13" t="s">
        <v>45</v>
      </c>
      <c r="M28" s="16" t="s">
        <v>118</v>
      </c>
    </row>
    <row r="29" customFormat="false" ht="15" hidden="false" customHeight="true" outlineLevel="0" collapsed="false">
      <c r="A29" s="17" t="n">
        <v>27</v>
      </c>
      <c r="B29" s="18" t="s">
        <v>119</v>
      </c>
      <c r="C29" s="19" t="s">
        <v>120</v>
      </c>
      <c r="D29" s="17" t="n">
        <v>3</v>
      </c>
      <c r="E29" s="17" t="n">
        <v>1</v>
      </c>
      <c r="F29" s="20" t="n">
        <v>46213</v>
      </c>
      <c r="G29" s="20" t="n">
        <v>46213</v>
      </c>
      <c r="H29" s="17" t="s">
        <v>121</v>
      </c>
      <c r="I29" s="19" t="s">
        <v>49</v>
      </c>
      <c r="J29" s="17" t="n">
        <v>8</v>
      </c>
      <c r="K29" s="17" t="s">
        <v>22</v>
      </c>
      <c r="L29" s="18" t="s">
        <v>45</v>
      </c>
      <c r="M29" s="21" t="s">
        <v>122</v>
      </c>
    </row>
    <row r="30" customFormat="false" ht="15" hidden="false" customHeight="true" outlineLevel="0" collapsed="false">
      <c r="A30" s="12" t="n">
        <v>28</v>
      </c>
      <c r="B30" s="13" t="s">
        <v>123</v>
      </c>
      <c r="C30" s="14" t="s">
        <v>124</v>
      </c>
      <c r="D30" s="12" t="n">
        <v>3</v>
      </c>
      <c r="E30" s="12" t="n">
        <v>3</v>
      </c>
      <c r="F30" s="15" t="n">
        <v>46216</v>
      </c>
      <c r="G30" s="15" t="n">
        <v>46218</v>
      </c>
      <c r="H30" s="12" t="s">
        <v>125</v>
      </c>
      <c r="I30" s="14" t="s">
        <v>117</v>
      </c>
      <c r="J30" s="12" t="n">
        <v>16</v>
      </c>
      <c r="K30" s="12" t="s">
        <v>22</v>
      </c>
      <c r="L30" s="13" t="s">
        <v>45</v>
      </c>
      <c r="M30" s="16" t="s">
        <v>126</v>
      </c>
    </row>
    <row r="31" customFormat="false" ht="15" hidden="false" customHeight="true" outlineLevel="0" collapsed="false">
      <c r="A31" s="17" t="n">
        <v>29</v>
      </c>
      <c r="B31" s="18" t="s">
        <v>127</v>
      </c>
      <c r="C31" s="19" t="s">
        <v>128</v>
      </c>
      <c r="D31" s="17" t="n">
        <v>3</v>
      </c>
      <c r="E31" s="17" t="n">
        <v>2</v>
      </c>
      <c r="F31" s="20" t="n">
        <v>46219</v>
      </c>
      <c r="G31" s="20" t="n">
        <v>46220</v>
      </c>
      <c r="H31" s="17" t="s">
        <v>129</v>
      </c>
      <c r="I31" s="19" t="s">
        <v>49</v>
      </c>
      <c r="J31" s="17" t="n">
        <v>8</v>
      </c>
      <c r="K31" s="17" t="s">
        <v>22</v>
      </c>
      <c r="L31" s="18" t="s">
        <v>45</v>
      </c>
      <c r="M31" s="21" t="s">
        <v>130</v>
      </c>
    </row>
    <row r="32" customFormat="false" ht="15" hidden="false" customHeight="true" outlineLevel="0" collapsed="false">
      <c r="A32" s="6" t="n">
        <v>30</v>
      </c>
      <c r="B32" s="10" t="s">
        <v>131</v>
      </c>
      <c r="C32" s="8" t="s">
        <v>132</v>
      </c>
      <c r="D32" s="6" t="n">
        <v>2</v>
      </c>
      <c r="E32" s="6" t="n">
        <v>1</v>
      </c>
      <c r="F32" s="7" t="n">
        <v>46220</v>
      </c>
      <c r="G32" s="7" t="n">
        <v>46220</v>
      </c>
      <c r="H32" s="6" t="s">
        <v>133</v>
      </c>
      <c r="I32" s="8" t="s">
        <v>134</v>
      </c>
      <c r="J32" s="6" t="n">
        <v>4</v>
      </c>
      <c r="K32" s="9" t="s">
        <v>16</v>
      </c>
      <c r="L32" s="10" t="s">
        <v>45</v>
      </c>
      <c r="M32" s="11" t="s">
        <v>135</v>
      </c>
    </row>
    <row r="33" customFormat="false" ht="18" hidden="false" customHeight="true" outlineLevel="0" collapsed="false">
      <c r="A33" s="3" t="n">
        <v>31</v>
      </c>
      <c r="B33" s="4" t="s">
        <v>26</v>
      </c>
      <c r="C33" s="5" t="s">
        <v>136</v>
      </c>
      <c r="D33" s="6" t="n">
        <v>1</v>
      </c>
      <c r="E33" s="6" t="n">
        <v>25</v>
      </c>
      <c r="F33" s="7" t="n">
        <v>46223</v>
      </c>
      <c r="G33" s="7" t="n">
        <v>46255</v>
      </c>
      <c r="H33" s="6" t="s">
        <v>137</v>
      </c>
      <c r="I33" s="8"/>
      <c r="J33" s="6"/>
      <c r="K33" s="9" t="s">
        <v>16</v>
      </c>
      <c r="L33" s="10" t="s">
        <v>138</v>
      </c>
      <c r="M33" s="11" t="s">
        <v>139</v>
      </c>
    </row>
    <row r="34" customFormat="false" ht="15" hidden="false" customHeight="true" outlineLevel="0" collapsed="false">
      <c r="A34" s="12" t="n">
        <v>32</v>
      </c>
      <c r="B34" s="13" t="s">
        <v>140</v>
      </c>
      <c r="C34" s="14" t="s">
        <v>141</v>
      </c>
      <c r="D34" s="12" t="n">
        <v>2</v>
      </c>
      <c r="E34" s="12" t="n">
        <v>5</v>
      </c>
      <c r="F34" s="15" t="n">
        <v>46223</v>
      </c>
      <c r="G34" s="15" t="n">
        <v>46227</v>
      </c>
      <c r="H34" s="12" t="s">
        <v>137</v>
      </c>
      <c r="I34" s="14" t="s">
        <v>49</v>
      </c>
      <c r="J34" s="12" t="n">
        <v>40</v>
      </c>
      <c r="K34" s="12" t="s">
        <v>22</v>
      </c>
      <c r="L34" s="13" t="s">
        <v>138</v>
      </c>
      <c r="M34" s="16" t="s">
        <v>142</v>
      </c>
    </row>
    <row r="35" customFormat="false" ht="15" hidden="false" customHeight="true" outlineLevel="0" collapsed="false">
      <c r="A35" s="17" t="n">
        <v>33</v>
      </c>
      <c r="B35" s="18" t="s">
        <v>143</v>
      </c>
      <c r="C35" s="19" t="s">
        <v>144</v>
      </c>
      <c r="D35" s="17" t="n">
        <v>3</v>
      </c>
      <c r="E35" s="17" t="n">
        <v>2</v>
      </c>
      <c r="F35" s="20" t="n">
        <v>46223</v>
      </c>
      <c r="G35" s="20" t="n">
        <v>46224</v>
      </c>
      <c r="H35" s="17" t="s">
        <v>137</v>
      </c>
      <c r="I35" s="19" t="s">
        <v>49</v>
      </c>
      <c r="J35" s="17" t="n">
        <v>16</v>
      </c>
      <c r="K35" s="17" t="s">
        <v>22</v>
      </c>
      <c r="L35" s="18" t="s">
        <v>138</v>
      </c>
      <c r="M35" s="21" t="s">
        <v>145</v>
      </c>
    </row>
    <row r="36" customFormat="false" ht="15" hidden="false" customHeight="true" outlineLevel="0" collapsed="false">
      <c r="A36" s="12" t="n">
        <v>34</v>
      </c>
      <c r="B36" s="13" t="s">
        <v>146</v>
      </c>
      <c r="C36" s="14" t="s">
        <v>147</v>
      </c>
      <c r="D36" s="12" t="n">
        <v>3</v>
      </c>
      <c r="E36" s="12" t="n">
        <v>3</v>
      </c>
      <c r="F36" s="15" t="n">
        <v>46225</v>
      </c>
      <c r="G36" s="15" t="n">
        <v>46227</v>
      </c>
      <c r="H36" s="12" t="s">
        <v>148</v>
      </c>
      <c r="I36" s="14" t="s">
        <v>49</v>
      </c>
      <c r="J36" s="12" t="n">
        <v>24</v>
      </c>
      <c r="K36" s="12" t="s">
        <v>22</v>
      </c>
      <c r="L36" s="13" t="s">
        <v>138</v>
      </c>
      <c r="M36" s="16" t="s">
        <v>149</v>
      </c>
    </row>
    <row r="37" customFormat="false" ht="18" hidden="false" customHeight="true" outlineLevel="0" collapsed="false">
      <c r="A37" s="17" t="n">
        <v>35</v>
      </c>
      <c r="B37" s="18" t="s">
        <v>150</v>
      </c>
      <c r="C37" s="19" t="s">
        <v>151</v>
      </c>
      <c r="D37" s="17" t="n">
        <v>2</v>
      </c>
      <c r="E37" s="17" t="n">
        <v>10</v>
      </c>
      <c r="F37" s="20" t="n">
        <v>46230</v>
      </c>
      <c r="G37" s="20" t="n">
        <v>46241</v>
      </c>
      <c r="H37" s="17" t="s">
        <v>152</v>
      </c>
      <c r="I37" s="19" t="s">
        <v>64</v>
      </c>
      <c r="J37" s="17" t="n">
        <v>80</v>
      </c>
      <c r="K37" s="17" t="s">
        <v>22</v>
      </c>
      <c r="L37" s="18" t="s">
        <v>138</v>
      </c>
      <c r="M37" s="21" t="s">
        <v>153</v>
      </c>
    </row>
    <row r="38" customFormat="false" ht="15" hidden="false" customHeight="true" outlineLevel="0" collapsed="false">
      <c r="A38" s="12" t="n">
        <v>36</v>
      </c>
      <c r="B38" s="13" t="s">
        <v>154</v>
      </c>
      <c r="C38" s="14" t="s">
        <v>155</v>
      </c>
      <c r="D38" s="12" t="n">
        <v>3</v>
      </c>
      <c r="E38" s="12" t="n">
        <v>3</v>
      </c>
      <c r="F38" s="15" t="n">
        <v>46230</v>
      </c>
      <c r="G38" s="15" t="n">
        <v>46232</v>
      </c>
      <c r="H38" s="12" t="s">
        <v>152</v>
      </c>
      <c r="I38" s="14" t="s">
        <v>64</v>
      </c>
      <c r="J38" s="12" t="n">
        <v>24</v>
      </c>
      <c r="K38" s="12" t="s">
        <v>22</v>
      </c>
      <c r="L38" s="13" t="s">
        <v>138</v>
      </c>
      <c r="M38" s="16" t="s">
        <v>156</v>
      </c>
    </row>
    <row r="39" customFormat="false" ht="15" hidden="false" customHeight="true" outlineLevel="0" collapsed="false">
      <c r="A39" s="17" t="n">
        <v>37</v>
      </c>
      <c r="B39" s="18" t="s">
        <v>157</v>
      </c>
      <c r="C39" s="19" t="s">
        <v>158</v>
      </c>
      <c r="D39" s="17" t="n">
        <v>3</v>
      </c>
      <c r="E39" s="17" t="n">
        <v>4</v>
      </c>
      <c r="F39" s="20" t="n">
        <v>46233</v>
      </c>
      <c r="G39" s="20" t="n">
        <v>46238</v>
      </c>
      <c r="H39" s="17" t="s">
        <v>159</v>
      </c>
      <c r="I39" s="19" t="s">
        <v>64</v>
      </c>
      <c r="J39" s="17" t="n">
        <v>32</v>
      </c>
      <c r="K39" s="17" t="s">
        <v>22</v>
      </c>
      <c r="L39" s="18" t="s">
        <v>138</v>
      </c>
      <c r="M39" s="21" t="s">
        <v>160</v>
      </c>
    </row>
    <row r="40" customFormat="false" ht="15" hidden="false" customHeight="true" outlineLevel="0" collapsed="false">
      <c r="A40" s="12" t="n">
        <v>38</v>
      </c>
      <c r="B40" s="13" t="s">
        <v>161</v>
      </c>
      <c r="C40" s="14" t="s">
        <v>162</v>
      </c>
      <c r="D40" s="12" t="n">
        <v>3</v>
      </c>
      <c r="E40" s="12" t="n">
        <v>3</v>
      </c>
      <c r="F40" s="15" t="n">
        <v>46239</v>
      </c>
      <c r="G40" s="15" t="n">
        <v>46241</v>
      </c>
      <c r="H40" s="12" t="s">
        <v>163</v>
      </c>
      <c r="I40" s="14" t="s">
        <v>49</v>
      </c>
      <c r="J40" s="12" t="n">
        <v>24</v>
      </c>
      <c r="K40" s="12" t="s">
        <v>22</v>
      </c>
      <c r="L40" s="13" t="s">
        <v>138</v>
      </c>
      <c r="M40" s="16" t="s">
        <v>164</v>
      </c>
    </row>
    <row r="41" customFormat="false" ht="18" hidden="false" customHeight="true" outlineLevel="0" collapsed="false">
      <c r="A41" s="17" t="n">
        <v>39</v>
      </c>
      <c r="B41" s="18" t="s">
        <v>165</v>
      </c>
      <c r="C41" s="19" t="s">
        <v>166</v>
      </c>
      <c r="D41" s="17" t="n">
        <v>2</v>
      </c>
      <c r="E41" s="17" t="n">
        <v>12</v>
      </c>
      <c r="F41" s="20" t="n">
        <v>46230</v>
      </c>
      <c r="G41" s="20" t="n">
        <v>46245</v>
      </c>
      <c r="H41" s="17" t="s">
        <v>152</v>
      </c>
      <c r="I41" s="19" t="s">
        <v>64</v>
      </c>
      <c r="J41" s="17" t="n">
        <v>104</v>
      </c>
      <c r="K41" s="17" t="s">
        <v>22</v>
      </c>
      <c r="L41" s="18" t="s">
        <v>138</v>
      </c>
      <c r="M41" s="21" t="s">
        <v>167</v>
      </c>
    </row>
    <row r="42" customFormat="false" ht="15" hidden="false" customHeight="true" outlineLevel="0" collapsed="false">
      <c r="A42" s="12" t="n">
        <v>40</v>
      </c>
      <c r="B42" s="13" t="s">
        <v>168</v>
      </c>
      <c r="C42" s="14" t="s">
        <v>169</v>
      </c>
      <c r="D42" s="12" t="n">
        <v>3</v>
      </c>
      <c r="E42" s="12" t="n">
        <v>3</v>
      </c>
      <c r="F42" s="15" t="n">
        <v>46230</v>
      </c>
      <c r="G42" s="15" t="n">
        <v>46232</v>
      </c>
      <c r="H42" s="12" t="s">
        <v>152</v>
      </c>
      <c r="I42" s="14" t="s">
        <v>64</v>
      </c>
      <c r="J42" s="12" t="n">
        <v>24</v>
      </c>
      <c r="K42" s="12" t="s">
        <v>22</v>
      </c>
      <c r="L42" s="13" t="s">
        <v>138</v>
      </c>
      <c r="M42" s="16" t="s">
        <v>170</v>
      </c>
    </row>
    <row r="43" customFormat="false" ht="15" hidden="false" customHeight="true" outlineLevel="0" collapsed="false">
      <c r="A43" s="17" t="n">
        <v>41</v>
      </c>
      <c r="B43" s="18" t="s">
        <v>171</v>
      </c>
      <c r="C43" s="19" t="s">
        <v>172</v>
      </c>
      <c r="D43" s="17" t="n">
        <v>3</v>
      </c>
      <c r="E43" s="17" t="n">
        <v>3</v>
      </c>
      <c r="F43" s="20" t="n">
        <v>46233</v>
      </c>
      <c r="G43" s="20" t="n">
        <v>46237</v>
      </c>
      <c r="H43" s="17" t="s">
        <v>173</v>
      </c>
      <c r="I43" s="19" t="s">
        <v>64</v>
      </c>
      <c r="J43" s="17" t="n">
        <v>24</v>
      </c>
      <c r="K43" s="17" t="s">
        <v>22</v>
      </c>
      <c r="L43" s="18" t="s">
        <v>138</v>
      </c>
      <c r="M43" s="21" t="s">
        <v>174</v>
      </c>
    </row>
    <row r="44" customFormat="false" ht="15" hidden="false" customHeight="true" outlineLevel="0" collapsed="false">
      <c r="A44" s="12" t="n">
        <v>42</v>
      </c>
      <c r="B44" s="13" t="s">
        <v>175</v>
      </c>
      <c r="C44" s="14" t="s">
        <v>176</v>
      </c>
      <c r="D44" s="12" t="n">
        <v>3</v>
      </c>
      <c r="E44" s="12" t="n">
        <v>3</v>
      </c>
      <c r="F44" s="15" t="n">
        <v>46238</v>
      </c>
      <c r="G44" s="15" t="n">
        <v>46240</v>
      </c>
      <c r="H44" s="12" t="s">
        <v>177</v>
      </c>
      <c r="I44" s="14" t="s">
        <v>49</v>
      </c>
      <c r="J44" s="12" t="n">
        <v>24</v>
      </c>
      <c r="K44" s="12" t="s">
        <v>22</v>
      </c>
      <c r="L44" s="13" t="s">
        <v>138</v>
      </c>
      <c r="M44" s="16" t="s">
        <v>178</v>
      </c>
    </row>
    <row r="45" customFormat="false" ht="15" hidden="false" customHeight="true" outlineLevel="0" collapsed="false">
      <c r="A45" s="17" t="n">
        <v>43</v>
      </c>
      <c r="B45" s="18" t="s">
        <v>179</v>
      </c>
      <c r="C45" s="19" t="s">
        <v>180</v>
      </c>
      <c r="D45" s="17" t="n">
        <v>3</v>
      </c>
      <c r="E45" s="17" t="n">
        <v>3</v>
      </c>
      <c r="F45" s="20" t="n">
        <v>46241</v>
      </c>
      <c r="G45" s="20" t="n">
        <v>46245</v>
      </c>
      <c r="H45" s="17" t="s">
        <v>181</v>
      </c>
      <c r="I45" s="19" t="s">
        <v>49</v>
      </c>
      <c r="J45" s="17" t="n">
        <v>24</v>
      </c>
      <c r="K45" s="17" t="s">
        <v>22</v>
      </c>
      <c r="L45" s="18" t="s">
        <v>138</v>
      </c>
      <c r="M45" s="21" t="s">
        <v>182</v>
      </c>
    </row>
    <row r="46" customFormat="false" ht="15" hidden="false" customHeight="true" outlineLevel="0" collapsed="false">
      <c r="A46" s="12" t="n">
        <v>44</v>
      </c>
      <c r="B46" s="13" t="s">
        <v>183</v>
      </c>
      <c r="C46" s="14" t="s">
        <v>184</v>
      </c>
      <c r="D46" s="12" t="n">
        <v>3</v>
      </c>
      <c r="E46" s="12" t="n">
        <v>3</v>
      </c>
      <c r="F46" s="15" t="n">
        <v>46246</v>
      </c>
      <c r="G46" s="15" t="n">
        <v>46248</v>
      </c>
      <c r="H46" s="12" t="s">
        <v>185</v>
      </c>
      <c r="I46" s="14" t="s">
        <v>64</v>
      </c>
      <c r="J46" s="12" t="n">
        <v>8</v>
      </c>
      <c r="K46" s="12" t="s">
        <v>22</v>
      </c>
      <c r="L46" s="13" t="s">
        <v>138</v>
      </c>
      <c r="M46" s="16" t="s">
        <v>186</v>
      </c>
    </row>
    <row r="47" customFormat="false" ht="15" hidden="false" customHeight="true" outlineLevel="0" collapsed="false">
      <c r="A47" s="17" t="n">
        <v>45</v>
      </c>
      <c r="B47" s="18" t="s">
        <v>187</v>
      </c>
      <c r="C47" s="19" t="s">
        <v>188</v>
      </c>
      <c r="D47" s="17" t="n">
        <v>2</v>
      </c>
      <c r="E47" s="17" t="n">
        <v>8</v>
      </c>
      <c r="F47" s="20" t="n">
        <v>46230</v>
      </c>
      <c r="G47" s="20" t="n">
        <v>46239</v>
      </c>
      <c r="H47" s="17" t="s">
        <v>152</v>
      </c>
      <c r="I47" s="19" t="s">
        <v>49</v>
      </c>
      <c r="J47" s="17" t="n">
        <v>64</v>
      </c>
      <c r="K47" s="17" t="s">
        <v>22</v>
      </c>
      <c r="L47" s="18" t="s">
        <v>138</v>
      </c>
      <c r="M47" s="21" t="s">
        <v>189</v>
      </c>
    </row>
    <row r="48" customFormat="false" ht="15" hidden="false" customHeight="true" outlineLevel="0" collapsed="false">
      <c r="A48" s="12" t="n">
        <v>46</v>
      </c>
      <c r="B48" s="13" t="s">
        <v>190</v>
      </c>
      <c r="C48" s="14" t="s">
        <v>191</v>
      </c>
      <c r="D48" s="12" t="n">
        <v>3</v>
      </c>
      <c r="E48" s="12" t="n">
        <v>2</v>
      </c>
      <c r="F48" s="15" t="n">
        <v>46230</v>
      </c>
      <c r="G48" s="15" t="n">
        <v>46231</v>
      </c>
      <c r="H48" s="12" t="s">
        <v>152</v>
      </c>
      <c r="I48" s="14" t="s">
        <v>49</v>
      </c>
      <c r="J48" s="12" t="n">
        <v>16</v>
      </c>
      <c r="K48" s="12" t="s">
        <v>22</v>
      </c>
      <c r="L48" s="13" t="s">
        <v>138</v>
      </c>
      <c r="M48" s="16" t="s">
        <v>192</v>
      </c>
    </row>
    <row r="49" customFormat="false" ht="15" hidden="false" customHeight="true" outlineLevel="0" collapsed="false">
      <c r="A49" s="17" t="n">
        <v>47</v>
      </c>
      <c r="B49" s="18" t="s">
        <v>193</v>
      </c>
      <c r="C49" s="19" t="s">
        <v>194</v>
      </c>
      <c r="D49" s="17" t="n">
        <v>3</v>
      </c>
      <c r="E49" s="17" t="n">
        <v>2</v>
      </c>
      <c r="F49" s="20" t="n">
        <v>46232</v>
      </c>
      <c r="G49" s="20" t="n">
        <v>46233</v>
      </c>
      <c r="H49" s="17" t="s">
        <v>195</v>
      </c>
      <c r="I49" s="19" t="s">
        <v>49</v>
      </c>
      <c r="J49" s="17" t="n">
        <v>16</v>
      </c>
      <c r="K49" s="17" t="s">
        <v>22</v>
      </c>
      <c r="L49" s="18" t="s">
        <v>138</v>
      </c>
      <c r="M49" s="21" t="s">
        <v>196</v>
      </c>
    </row>
    <row r="50" customFormat="false" ht="15" hidden="false" customHeight="true" outlineLevel="0" collapsed="false">
      <c r="A50" s="12" t="n">
        <v>48</v>
      </c>
      <c r="B50" s="13" t="s">
        <v>197</v>
      </c>
      <c r="C50" s="14" t="s">
        <v>198</v>
      </c>
      <c r="D50" s="12" t="n">
        <v>3</v>
      </c>
      <c r="E50" s="12" t="n">
        <v>2</v>
      </c>
      <c r="F50" s="15" t="n">
        <v>46234</v>
      </c>
      <c r="G50" s="15" t="n">
        <v>46237</v>
      </c>
      <c r="H50" s="12" t="s">
        <v>199</v>
      </c>
      <c r="I50" s="14" t="s">
        <v>49</v>
      </c>
      <c r="J50" s="12" t="n">
        <v>16</v>
      </c>
      <c r="K50" s="12" t="s">
        <v>22</v>
      </c>
      <c r="L50" s="13" t="s">
        <v>138</v>
      </c>
      <c r="M50" s="16" t="s">
        <v>200</v>
      </c>
    </row>
    <row r="51" customFormat="false" ht="15" hidden="false" customHeight="true" outlineLevel="0" collapsed="false">
      <c r="A51" s="17" t="n">
        <v>49</v>
      </c>
      <c r="B51" s="18" t="s">
        <v>201</v>
      </c>
      <c r="C51" s="19" t="s">
        <v>202</v>
      </c>
      <c r="D51" s="17" t="n">
        <v>3</v>
      </c>
      <c r="E51" s="17" t="n">
        <v>2</v>
      </c>
      <c r="F51" s="20" t="n">
        <v>46238</v>
      </c>
      <c r="G51" s="20" t="n">
        <v>46239</v>
      </c>
      <c r="H51" s="17" t="s">
        <v>203</v>
      </c>
      <c r="I51" s="19" t="s">
        <v>49</v>
      </c>
      <c r="J51" s="17" t="n">
        <v>16</v>
      </c>
      <c r="K51" s="17" t="s">
        <v>22</v>
      </c>
      <c r="L51" s="18" t="s">
        <v>138</v>
      </c>
      <c r="M51" s="21" t="s">
        <v>204</v>
      </c>
    </row>
    <row r="52" customFormat="false" ht="15" hidden="false" customHeight="true" outlineLevel="0" collapsed="false">
      <c r="A52" s="12" t="n">
        <v>50</v>
      </c>
      <c r="B52" s="13" t="s">
        <v>205</v>
      </c>
      <c r="C52" s="14" t="s">
        <v>206</v>
      </c>
      <c r="D52" s="12" t="n">
        <v>2</v>
      </c>
      <c r="E52" s="12" t="n">
        <v>5</v>
      </c>
      <c r="F52" s="15" t="n">
        <v>46244</v>
      </c>
      <c r="G52" s="15" t="n">
        <v>46248</v>
      </c>
      <c r="H52" s="12" t="s">
        <v>207</v>
      </c>
      <c r="I52" s="14" t="s">
        <v>49</v>
      </c>
      <c r="J52" s="12" t="n">
        <v>40</v>
      </c>
      <c r="K52" s="12" t="s">
        <v>22</v>
      </c>
      <c r="L52" s="13" t="s">
        <v>138</v>
      </c>
      <c r="M52" s="16" t="s">
        <v>208</v>
      </c>
    </row>
    <row r="53" customFormat="false" ht="15" hidden="false" customHeight="true" outlineLevel="0" collapsed="false">
      <c r="A53" s="17" t="n">
        <v>51</v>
      </c>
      <c r="B53" s="18" t="s">
        <v>209</v>
      </c>
      <c r="C53" s="19" t="s">
        <v>210</v>
      </c>
      <c r="D53" s="17" t="n">
        <v>3</v>
      </c>
      <c r="E53" s="17" t="n">
        <v>2</v>
      </c>
      <c r="F53" s="20" t="n">
        <v>46244</v>
      </c>
      <c r="G53" s="20" t="n">
        <v>46245</v>
      </c>
      <c r="H53" s="17" t="s">
        <v>211</v>
      </c>
      <c r="I53" s="19" t="s">
        <v>49</v>
      </c>
      <c r="J53" s="17" t="n">
        <v>16</v>
      </c>
      <c r="K53" s="17" t="s">
        <v>22</v>
      </c>
      <c r="L53" s="18" t="s">
        <v>138</v>
      </c>
      <c r="M53" s="21" t="s">
        <v>212</v>
      </c>
    </row>
    <row r="54" customFormat="false" ht="15" hidden="false" customHeight="true" outlineLevel="0" collapsed="false">
      <c r="A54" s="12" t="n">
        <v>52</v>
      </c>
      <c r="B54" s="13" t="s">
        <v>213</v>
      </c>
      <c r="C54" s="14" t="s">
        <v>214</v>
      </c>
      <c r="D54" s="12" t="n">
        <v>3</v>
      </c>
      <c r="E54" s="12" t="n">
        <v>2</v>
      </c>
      <c r="F54" s="15" t="n">
        <v>46246</v>
      </c>
      <c r="G54" s="15" t="n">
        <v>46247</v>
      </c>
      <c r="H54" s="12" t="s">
        <v>215</v>
      </c>
      <c r="I54" s="14" t="s">
        <v>49</v>
      </c>
      <c r="J54" s="12" t="n">
        <v>12</v>
      </c>
      <c r="K54" s="12" t="s">
        <v>22</v>
      </c>
      <c r="L54" s="13" t="s">
        <v>138</v>
      </c>
      <c r="M54" s="16" t="s">
        <v>216</v>
      </c>
    </row>
    <row r="55" customFormat="false" ht="15" hidden="false" customHeight="true" outlineLevel="0" collapsed="false">
      <c r="A55" s="17" t="n">
        <v>53</v>
      </c>
      <c r="B55" s="18" t="s">
        <v>217</v>
      </c>
      <c r="C55" s="19" t="s">
        <v>218</v>
      </c>
      <c r="D55" s="17" t="n">
        <v>3</v>
      </c>
      <c r="E55" s="17" t="n">
        <v>2</v>
      </c>
      <c r="F55" s="20" t="n">
        <v>46248</v>
      </c>
      <c r="G55" s="20" t="n">
        <v>46251</v>
      </c>
      <c r="H55" s="17" t="s">
        <v>219</v>
      </c>
      <c r="I55" s="19" t="s">
        <v>64</v>
      </c>
      <c r="J55" s="17" t="n">
        <v>12</v>
      </c>
      <c r="K55" s="17" t="s">
        <v>22</v>
      </c>
      <c r="L55" s="18" t="s">
        <v>138</v>
      </c>
      <c r="M55" s="21" t="s">
        <v>220</v>
      </c>
    </row>
    <row r="56" customFormat="false" ht="15" hidden="false" customHeight="true" outlineLevel="0" collapsed="false">
      <c r="A56" s="6" t="n">
        <v>54</v>
      </c>
      <c r="B56" s="10" t="s">
        <v>221</v>
      </c>
      <c r="C56" s="8" t="s">
        <v>222</v>
      </c>
      <c r="D56" s="6" t="n">
        <v>2</v>
      </c>
      <c r="E56" s="6" t="n">
        <v>1</v>
      </c>
      <c r="F56" s="7" t="n">
        <v>46255</v>
      </c>
      <c r="G56" s="7" t="n">
        <v>46255</v>
      </c>
      <c r="H56" s="6" t="s">
        <v>223</v>
      </c>
      <c r="I56" s="8" t="s">
        <v>224</v>
      </c>
      <c r="J56" s="6" t="n">
        <v>4</v>
      </c>
      <c r="K56" s="9" t="s">
        <v>16</v>
      </c>
      <c r="L56" s="10" t="s">
        <v>138</v>
      </c>
      <c r="M56" s="11" t="s">
        <v>225</v>
      </c>
    </row>
    <row r="57" customFormat="false" ht="18" hidden="false" customHeight="true" outlineLevel="0" collapsed="false">
      <c r="A57" s="3" t="n">
        <v>55</v>
      </c>
      <c r="B57" s="4" t="s">
        <v>31</v>
      </c>
      <c r="C57" s="5" t="s">
        <v>226</v>
      </c>
      <c r="D57" s="6" t="n">
        <v>1</v>
      </c>
      <c r="E57" s="6" t="n">
        <v>20</v>
      </c>
      <c r="F57" s="7" t="n">
        <v>46258</v>
      </c>
      <c r="G57" s="7" t="n">
        <v>46283</v>
      </c>
      <c r="H57" s="6" t="s">
        <v>227</v>
      </c>
      <c r="I57" s="8"/>
      <c r="J57" s="6"/>
      <c r="K57" s="9" t="s">
        <v>16</v>
      </c>
      <c r="L57" s="10" t="s">
        <v>228</v>
      </c>
      <c r="M57" s="11" t="s">
        <v>229</v>
      </c>
    </row>
    <row r="58" customFormat="false" ht="15" hidden="false" customHeight="true" outlineLevel="0" collapsed="false">
      <c r="A58" s="12" t="n">
        <v>56</v>
      </c>
      <c r="B58" s="13" t="s">
        <v>230</v>
      </c>
      <c r="C58" s="14" t="s">
        <v>231</v>
      </c>
      <c r="D58" s="12" t="n">
        <v>2</v>
      </c>
      <c r="E58" s="12" t="n">
        <v>8</v>
      </c>
      <c r="F58" s="15" t="n">
        <v>46258</v>
      </c>
      <c r="G58" s="15" t="n">
        <v>46267</v>
      </c>
      <c r="H58" s="12" t="s">
        <v>227</v>
      </c>
      <c r="I58" s="14" t="s">
        <v>49</v>
      </c>
      <c r="J58" s="12" t="n">
        <v>64</v>
      </c>
      <c r="K58" s="12" t="s">
        <v>22</v>
      </c>
      <c r="L58" s="13" t="s">
        <v>228</v>
      </c>
      <c r="M58" s="16" t="s">
        <v>232</v>
      </c>
    </row>
    <row r="59" customFormat="false" ht="15" hidden="false" customHeight="true" outlineLevel="0" collapsed="false">
      <c r="A59" s="17" t="n">
        <v>57</v>
      </c>
      <c r="B59" s="18" t="s">
        <v>233</v>
      </c>
      <c r="C59" s="19" t="s">
        <v>234</v>
      </c>
      <c r="D59" s="17" t="n">
        <v>3</v>
      </c>
      <c r="E59" s="17" t="n">
        <v>2</v>
      </c>
      <c r="F59" s="20" t="n">
        <v>46258</v>
      </c>
      <c r="G59" s="20" t="n">
        <v>46259</v>
      </c>
      <c r="H59" s="17" t="s">
        <v>227</v>
      </c>
      <c r="I59" s="19" t="s">
        <v>49</v>
      </c>
      <c r="J59" s="17" t="n">
        <v>16</v>
      </c>
      <c r="K59" s="17" t="s">
        <v>22</v>
      </c>
      <c r="L59" s="18" t="s">
        <v>228</v>
      </c>
      <c r="M59" s="21" t="s">
        <v>235</v>
      </c>
    </row>
    <row r="60" customFormat="false" ht="15" hidden="false" customHeight="true" outlineLevel="0" collapsed="false">
      <c r="A60" s="12" t="n">
        <v>58</v>
      </c>
      <c r="B60" s="13" t="s">
        <v>236</v>
      </c>
      <c r="C60" s="14" t="s">
        <v>237</v>
      </c>
      <c r="D60" s="12" t="n">
        <v>3</v>
      </c>
      <c r="E60" s="12" t="n">
        <v>3</v>
      </c>
      <c r="F60" s="15" t="n">
        <v>46260</v>
      </c>
      <c r="G60" s="15" t="n">
        <v>46262</v>
      </c>
      <c r="H60" s="12" t="s">
        <v>238</v>
      </c>
      <c r="I60" s="14" t="s">
        <v>49</v>
      </c>
      <c r="J60" s="12" t="n">
        <v>24</v>
      </c>
      <c r="K60" s="12" t="s">
        <v>22</v>
      </c>
      <c r="L60" s="13" t="s">
        <v>228</v>
      </c>
      <c r="M60" s="16" t="s">
        <v>239</v>
      </c>
    </row>
    <row r="61" customFormat="false" ht="15" hidden="false" customHeight="true" outlineLevel="0" collapsed="false">
      <c r="A61" s="17" t="n">
        <v>59</v>
      </c>
      <c r="B61" s="18" t="s">
        <v>240</v>
      </c>
      <c r="C61" s="19" t="s">
        <v>241</v>
      </c>
      <c r="D61" s="17" t="n">
        <v>3</v>
      </c>
      <c r="E61" s="17" t="n">
        <v>3</v>
      </c>
      <c r="F61" s="20" t="n">
        <v>46265</v>
      </c>
      <c r="G61" s="20" t="n">
        <v>46267</v>
      </c>
      <c r="H61" s="17" t="s">
        <v>242</v>
      </c>
      <c r="I61" s="19" t="s">
        <v>49</v>
      </c>
      <c r="J61" s="17" t="n">
        <v>24</v>
      </c>
      <c r="K61" s="17" t="s">
        <v>22</v>
      </c>
      <c r="L61" s="18" t="s">
        <v>228</v>
      </c>
      <c r="M61" s="21" t="s">
        <v>243</v>
      </c>
    </row>
    <row r="62" customFormat="false" ht="15" hidden="false" customHeight="true" outlineLevel="0" collapsed="false">
      <c r="A62" s="12" t="n">
        <v>60</v>
      </c>
      <c r="B62" s="13" t="s">
        <v>244</v>
      </c>
      <c r="C62" s="14" t="s">
        <v>245</v>
      </c>
      <c r="D62" s="12" t="n">
        <v>2</v>
      </c>
      <c r="E62" s="12" t="n">
        <v>6</v>
      </c>
      <c r="F62" s="15" t="n">
        <v>46258</v>
      </c>
      <c r="G62" s="15" t="n">
        <v>46265</v>
      </c>
      <c r="H62" s="12" t="s">
        <v>227</v>
      </c>
      <c r="I62" s="14" t="s">
        <v>64</v>
      </c>
      <c r="J62" s="12" t="n">
        <v>48</v>
      </c>
      <c r="K62" s="12" t="s">
        <v>22</v>
      </c>
      <c r="L62" s="13" t="s">
        <v>228</v>
      </c>
      <c r="M62" s="16" t="s">
        <v>246</v>
      </c>
    </row>
    <row r="63" customFormat="false" ht="15" hidden="false" customHeight="true" outlineLevel="0" collapsed="false">
      <c r="A63" s="17" t="n">
        <v>61</v>
      </c>
      <c r="B63" s="18" t="s">
        <v>247</v>
      </c>
      <c r="C63" s="19" t="s">
        <v>248</v>
      </c>
      <c r="D63" s="17" t="n">
        <v>3</v>
      </c>
      <c r="E63" s="17" t="n">
        <v>2</v>
      </c>
      <c r="F63" s="20" t="n">
        <v>46258</v>
      </c>
      <c r="G63" s="20" t="n">
        <v>46259</v>
      </c>
      <c r="H63" s="17" t="s">
        <v>227</v>
      </c>
      <c r="I63" s="19" t="s">
        <v>49</v>
      </c>
      <c r="J63" s="17" t="n">
        <v>16</v>
      </c>
      <c r="K63" s="17" t="s">
        <v>22</v>
      </c>
      <c r="L63" s="18" t="s">
        <v>228</v>
      </c>
      <c r="M63" s="21" t="s">
        <v>249</v>
      </c>
    </row>
    <row r="64" customFormat="false" ht="15" hidden="false" customHeight="true" outlineLevel="0" collapsed="false">
      <c r="A64" s="12" t="n">
        <v>62</v>
      </c>
      <c r="B64" s="13" t="s">
        <v>250</v>
      </c>
      <c r="C64" s="14" t="s">
        <v>251</v>
      </c>
      <c r="D64" s="12" t="n">
        <v>3</v>
      </c>
      <c r="E64" s="12" t="n">
        <v>2</v>
      </c>
      <c r="F64" s="15" t="n">
        <v>46260</v>
      </c>
      <c r="G64" s="15" t="n">
        <v>46261</v>
      </c>
      <c r="H64" s="12" t="s">
        <v>252</v>
      </c>
      <c r="I64" s="14" t="s">
        <v>49</v>
      </c>
      <c r="J64" s="12" t="n">
        <v>16</v>
      </c>
      <c r="K64" s="12" t="s">
        <v>22</v>
      </c>
      <c r="L64" s="13" t="s">
        <v>228</v>
      </c>
      <c r="M64" s="16" t="s">
        <v>253</v>
      </c>
    </row>
    <row r="65" customFormat="false" ht="15" hidden="false" customHeight="true" outlineLevel="0" collapsed="false">
      <c r="A65" s="17" t="n">
        <v>63</v>
      </c>
      <c r="B65" s="18" t="s">
        <v>254</v>
      </c>
      <c r="C65" s="19" t="s">
        <v>255</v>
      </c>
      <c r="D65" s="17" t="n">
        <v>3</v>
      </c>
      <c r="E65" s="17" t="n">
        <v>2</v>
      </c>
      <c r="F65" s="20" t="n">
        <v>46262</v>
      </c>
      <c r="G65" s="20" t="n">
        <v>46265</v>
      </c>
      <c r="H65" s="17" t="s">
        <v>256</v>
      </c>
      <c r="I65" s="19" t="s">
        <v>64</v>
      </c>
      <c r="J65" s="17" t="n">
        <v>16</v>
      </c>
      <c r="K65" s="17" t="s">
        <v>22</v>
      </c>
      <c r="L65" s="18" t="s">
        <v>228</v>
      </c>
      <c r="M65" s="21" t="s">
        <v>257</v>
      </c>
    </row>
    <row r="66" customFormat="false" ht="18" hidden="false" customHeight="true" outlineLevel="0" collapsed="false">
      <c r="A66" s="12" t="n">
        <v>64</v>
      </c>
      <c r="B66" s="13" t="s">
        <v>258</v>
      </c>
      <c r="C66" s="14" t="s">
        <v>259</v>
      </c>
      <c r="D66" s="12" t="n">
        <v>2</v>
      </c>
      <c r="E66" s="12" t="n">
        <v>6</v>
      </c>
      <c r="F66" s="15" t="n">
        <v>46268</v>
      </c>
      <c r="G66" s="15" t="n">
        <v>46275</v>
      </c>
      <c r="H66" s="12" t="s">
        <v>260</v>
      </c>
      <c r="I66" s="14" t="s">
        <v>49</v>
      </c>
      <c r="J66" s="12" t="n">
        <v>40</v>
      </c>
      <c r="K66" s="12" t="s">
        <v>22</v>
      </c>
      <c r="L66" s="13" t="s">
        <v>228</v>
      </c>
      <c r="M66" s="16" t="s">
        <v>261</v>
      </c>
    </row>
    <row r="67" customFormat="false" ht="15" hidden="false" customHeight="true" outlineLevel="0" collapsed="false">
      <c r="A67" s="17" t="n">
        <v>65</v>
      </c>
      <c r="B67" s="18" t="s">
        <v>262</v>
      </c>
      <c r="C67" s="19" t="s">
        <v>263</v>
      </c>
      <c r="D67" s="17" t="n">
        <v>3</v>
      </c>
      <c r="E67" s="17" t="n">
        <v>2</v>
      </c>
      <c r="F67" s="20" t="n">
        <v>46268</v>
      </c>
      <c r="G67" s="20" t="n">
        <v>46269</v>
      </c>
      <c r="H67" s="17" t="s">
        <v>260</v>
      </c>
      <c r="I67" s="19" t="s">
        <v>49</v>
      </c>
      <c r="J67" s="17" t="n">
        <v>16</v>
      </c>
      <c r="K67" s="17" t="s">
        <v>22</v>
      </c>
      <c r="L67" s="18" t="s">
        <v>228</v>
      </c>
      <c r="M67" s="21" t="s">
        <v>264</v>
      </c>
    </row>
    <row r="68" customFormat="false" ht="15" hidden="false" customHeight="true" outlineLevel="0" collapsed="false">
      <c r="A68" s="12" t="n">
        <v>66</v>
      </c>
      <c r="B68" s="13" t="s">
        <v>265</v>
      </c>
      <c r="C68" s="14" t="s">
        <v>266</v>
      </c>
      <c r="D68" s="12" t="n">
        <v>3</v>
      </c>
      <c r="E68" s="12" t="n">
        <v>2</v>
      </c>
      <c r="F68" s="15" t="n">
        <v>46272</v>
      </c>
      <c r="G68" s="15" t="n">
        <v>46273</v>
      </c>
      <c r="H68" s="12" t="s">
        <v>267</v>
      </c>
      <c r="I68" s="14" t="s">
        <v>49</v>
      </c>
      <c r="J68" s="12" t="n">
        <v>12</v>
      </c>
      <c r="K68" s="12" t="s">
        <v>22</v>
      </c>
      <c r="L68" s="13" t="s">
        <v>228</v>
      </c>
      <c r="M68" s="16" t="s">
        <v>268</v>
      </c>
    </row>
    <row r="69" customFormat="false" ht="15" hidden="false" customHeight="true" outlineLevel="0" collapsed="false">
      <c r="A69" s="17" t="n">
        <v>67</v>
      </c>
      <c r="B69" s="18" t="s">
        <v>269</v>
      </c>
      <c r="C69" s="19" t="s">
        <v>270</v>
      </c>
      <c r="D69" s="17" t="n">
        <v>3</v>
      </c>
      <c r="E69" s="17" t="n">
        <v>2</v>
      </c>
      <c r="F69" s="20" t="n">
        <v>46274</v>
      </c>
      <c r="G69" s="20" t="n">
        <v>46275</v>
      </c>
      <c r="H69" s="17" t="s">
        <v>271</v>
      </c>
      <c r="I69" s="19" t="s">
        <v>49</v>
      </c>
      <c r="J69" s="17" t="n">
        <v>12</v>
      </c>
      <c r="K69" s="17" t="s">
        <v>22</v>
      </c>
      <c r="L69" s="18" t="s">
        <v>228</v>
      </c>
      <c r="M69" s="21" t="s">
        <v>272</v>
      </c>
    </row>
    <row r="70" customFormat="false" ht="15" hidden="false" customHeight="true" outlineLevel="0" collapsed="false">
      <c r="A70" s="12" t="n">
        <v>68</v>
      </c>
      <c r="B70" s="13" t="s">
        <v>273</v>
      </c>
      <c r="C70" s="14" t="s">
        <v>274</v>
      </c>
      <c r="D70" s="12" t="n">
        <v>2</v>
      </c>
      <c r="E70" s="12" t="n">
        <v>8</v>
      </c>
      <c r="F70" s="15" t="n">
        <v>46258</v>
      </c>
      <c r="G70" s="15" t="n">
        <v>46267</v>
      </c>
      <c r="H70" s="12" t="s">
        <v>227</v>
      </c>
      <c r="I70" s="14" t="s">
        <v>64</v>
      </c>
      <c r="J70" s="12" t="n">
        <v>56</v>
      </c>
      <c r="K70" s="12" t="s">
        <v>22</v>
      </c>
      <c r="L70" s="13" t="s">
        <v>228</v>
      </c>
      <c r="M70" s="16" t="s">
        <v>275</v>
      </c>
    </row>
    <row r="71" customFormat="false" ht="15" hidden="false" customHeight="true" outlineLevel="0" collapsed="false">
      <c r="A71" s="17" t="n">
        <v>69</v>
      </c>
      <c r="B71" s="18" t="s">
        <v>276</v>
      </c>
      <c r="C71" s="19" t="s">
        <v>277</v>
      </c>
      <c r="D71" s="17" t="n">
        <v>3</v>
      </c>
      <c r="E71" s="17" t="n">
        <v>3</v>
      </c>
      <c r="F71" s="20" t="n">
        <v>46258</v>
      </c>
      <c r="G71" s="20" t="n">
        <v>46260</v>
      </c>
      <c r="H71" s="17" t="s">
        <v>227</v>
      </c>
      <c r="I71" s="19" t="s">
        <v>49</v>
      </c>
      <c r="J71" s="17" t="n">
        <v>20</v>
      </c>
      <c r="K71" s="17" t="s">
        <v>22</v>
      </c>
      <c r="L71" s="18" t="s">
        <v>228</v>
      </c>
      <c r="M71" s="21" t="s">
        <v>278</v>
      </c>
    </row>
    <row r="72" customFormat="false" ht="15" hidden="false" customHeight="true" outlineLevel="0" collapsed="false">
      <c r="A72" s="12" t="n">
        <v>70</v>
      </c>
      <c r="B72" s="13" t="s">
        <v>279</v>
      </c>
      <c r="C72" s="14" t="s">
        <v>280</v>
      </c>
      <c r="D72" s="12" t="n">
        <v>3</v>
      </c>
      <c r="E72" s="12" t="n">
        <v>3</v>
      </c>
      <c r="F72" s="15" t="n">
        <v>46261</v>
      </c>
      <c r="G72" s="15" t="n">
        <v>46265</v>
      </c>
      <c r="H72" s="12" t="s">
        <v>281</v>
      </c>
      <c r="I72" s="14" t="s">
        <v>49</v>
      </c>
      <c r="J72" s="12" t="n">
        <v>20</v>
      </c>
      <c r="K72" s="12" t="s">
        <v>22</v>
      </c>
      <c r="L72" s="13" t="s">
        <v>228</v>
      </c>
      <c r="M72" s="16" t="s">
        <v>282</v>
      </c>
    </row>
    <row r="73" customFormat="false" ht="15" hidden="false" customHeight="true" outlineLevel="0" collapsed="false">
      <c r="A73" s="17" t="n">
        <v>71</v>
      </c>
      <c r="B73" s="18" t="s">
        <v>283</v>
      </c>
      <c r="C73" s="19" t="s">
        <v>284</v>
      </c>
      <c r="D73" s="17" t="n">
        <v>3</v>
      </c>
      <c r="E73" s="17" t="n">
        <v>2</v>
      </c>
      <c r="F73" s="20" t="n">
        <v>46266</v>
      </c>
      <c r="G73" s="20" t="n">
        <v>46267</v>
      </c>
      <c r="H73" s="17" t="s">
        <v>285</v>
      </c>
      <c r="I73" s="19" t="s">
        <v>64</v>
      </c>
      <c r="J73" s="17" t="n">
        <v>16</v>
      </c>
      <c r="K73" s="17" t="s">
        <v>22</v>
      </c>
      <c r="L73" s="18" t="s">
        <v>228</v>
      </c>
      <c r="M73" s="21" t="s">
        <v>286</v>
      </c>
    </row>
    <row r="74" customFormat="false" ht="15" hidden="false" customHeight="true" outlineLevel="0" collapsed="false">
      <c r="A74" s="6" t="n">
        <v>72</v>
      </c>
      <c r="B74" s="10" t="s">
        <v>287</v>
      </c>
      <c r="C74" s="8" t="s">
        <v>288</v>
      </c>
      <c r="D74" s="6" t="n">
        <v>2</v>
      </c>
      <c r="E74" s="6" t="n">
        <v>1</v>
      </c>
      <c r="F74" s="7" t="n">
        <v>46276</v>
      </c>
      <c r="G74" s="7" t="n">
        <v>46276</v>
      </c>
      <c r="H74" s="6" t="s">
        <v>289</v>
      </c>
      <c r="I74" s="8" t="s">
        <v>134</v>
      </c>
      <c r="J74" s="6" t="n">
        <v>4</v>
      </c>
      <c r="K74" s="9" t="s">
        <v>16</v>
      </c>
      <c r="L74" s="10" t="s">
        <v>228</v>
      </c>
      <c r="M74" s="11" t="s">
        <v>290</v>
      </c>
    </row>
    <row r="75" customFormat="false" ht="18" hidden="false" customHeight="true" outlineLevel="0" collapsed="false">
      <c r="A75" s="3" t="n">
        <v>73</v>
      </c>
      <c r="B75" s="4" t="s">
        <v>40</v>
      </c>
      <c r="C75" s="5" t="s">
        <v>291</v>
      </c>
      <c r="D75" s="6" t="n">
        <v>1</v>
      </c>
      <c r="E75" s="6" t="n">
        <v>20</v>
      </c>
      <c r="F75" s="7" t="n">
        <v>46279</v>
      </c>
      <c r="G75" s="7" t="n">
        <v>46304</v>
      </c>
      <c r="H75" s="6" t="s">
        <v>292</v>
      </c>
      <c r="I75" s="8"/>
      <c r="J75" s="6"/>
      <c r="K75" s="9" t="s">
        <v>16</v>
      </c>
      <c r="L75" s="10" t="s">
        <v>293</v>
      </c>
      <c r="M75" s="11" t="s">
        <v>294</v>
      </c>
    </row>
    <row r="76" customFormat="false" ht="18" hidden="false" customHeight="true" outlineLevel="0" collapsed="false">
      <c r="A76" s="12" t="n">
        <v>74</v>
      </c>
      <c r="B76" s="13" t="s">
        <v>295</v>
      </c>
      <c r="C76" s="14" t="s">
        <v>296</v>
      </c>
      <c r="D76" s="12" t="n">
        <v>2</v>
      </c>
      <c r="E76" s="12" t="n">
        <v>8</v>
      </c>
      <c r="F76" s="15" t="n">
        <v>46279</v>
      </c>
      <c r="G76" s="15" t="n">
        <v>46288</v>
      </c>
      <c r="H76" s="12" t="s">
        <v>292</v>
      </c>
      <c r="I76" s="14" t="s">
        <v>297</v>
      </c>
      <c r="J76" s="12" t="n">
        <v>88</v>
      </c>
      <c r="K76" s="12" t="s">
        <v>22</v>
      </c>
      <c r="L76" s="13" t="s">
        <v>293</v>
      </c>
      <c r="M76" s="16" t="s">
        <v>298</v>
      </c>
    </row>
    <row r="77" customFormat="false" ht="15" hidden="false" customHeight="true" outlineLevel="0" collapsed="false">
      <c r="A77" s="17" t="n">
        <v>75</v>
      </c>
      <c r="B77" s="18" t="s">
        <v>299</v>
      </c>
      <c r="C77" s="19" t="s">
        <v>300</v>
      </c>
      <c r="D77" s="17" t="n">
        <v>3</v>
      </c>
      <c r="E77" s="17" t="n">
        <v>3</v>
      </c>
      <c r="F77" s="20" t="n">
        <v>46279</v>
      </c>
      <c r="G77" s="20" t="n">
        <v>46281</v>
      </c>
      <c r="H77" s="17" t="s">
        <v>292</v>
      </c>
      <c r="I77" s="19" t="s">
        <v>301</v>
      </c>
      <c r="J77" s="17" t="n">
        <v>24</v>
      </c>
      <c r="K77" s="17" t="s">
        <v>22</v>
      </c>
      <c r="L77" s="18" t="s">
        <v>293</v>
      </c>
      <c r="M77" s="21" t="s">
        <v>302</v>
      </c>
    </row>
    <row r="78" customFormat="false" ht="15" hidden="false" customHeight="true" outlineLevel="0" collapsed="false">
      <c r="A78" s="12" t="n">
        <v>76</v>
      </c>
      <c r="B78" s="13" t="s">
        <v>303</v>
      </c>
      <c r="C78" s="14" t="s">
        <v>304</v>
      </c>
      <c r="D78" s="12" t="n">
        <v>3</v>
      </c>
      <c r="E78" s="12" t="n">
        <v>3</v>
      </c>
      <c r="F78" s="15" t="n">
        <v>46282</v>
      </c>
      <c r="G78" s="15" t="n">
        <v>46286</v>
      </c>
      <c r="H78" s="12" t="s">
        <v>305</v>
      </c>
      <c r="I78" s="14" t="s">
        <v>306</v>
      </c>
      <c r="J78" s="12" t="n">
        <v>24</v>
      </c>
      <c r="K78" s="12" t="s">
        <v>22</v>
      </c>
      <c r="L78" s="13" t="s">
        <v>293</v>
      </c>
      <c r="M78" s="16" t="s">
        <v>307</v>
      </c>
    </row>
    <row r="79" customFormat="false" ht="15" hidden="false" customHeight="true" outlineLevel="0" collapsed="false">
      <c r="A79" s="17" t="n">
        <v>77</v>
      </c>
      <c r="B79" s="18" t="s">
        <v>308</v>
      </c>
      <c r="C79" s="19" t="s">
        <v>309</v>
      </c>
      <c r="D79" s="17" t="n">
        <v>3</v>
      </c>
      <c r="E79" s="17" t="n">
        <v>2</v>
      </c>
      <c r="F79" s="20" t="n">
        <v>46287</v>
      </c>
      <c r="G79" s="20" t="n">
        <v>46288</v>
      </c>
      <c r="H79" s="17" t="s">
        <v>310</v>
      </c>
      <c r="I79" s="19" t="s">
        <v>301</v>
      </c>
      <c r="J79" s="17" t="n">
        <v>16</v>
      </c>
      <c r="K79" s="17" t="s">
        <v>22</v>
      </c>
      <c r="L79" s="18" t="s">
        <v>293</v>
      </c>
      <c r="M79" s="21" t="s">
        <v>311</v>
      </c>
    </row>
    <row r="80" customFormat="false" ht="15" hidden="false" customHeight="true" outlineLevel="0" collapsed="false">
      <c r="A80" s="12" t="n">
        <v>78</v>
      </c>
      <c r="B80" s="13" t="s">
        <v>312</v>
      </c>
      <c r="C80" s="14" t="s">
        <v>313</v>
      </c>
      <c r="D80" s="12" t="n">
        <v>3</v>
      </c>
      <c r="E80" s="12" t="n">
        <v>2</v>
      </c>
      <c r="F80" s="15" t="n">
        <v>46289</v>
      </c>
      <c r="G80" s="15" t="n">
        <v>46290</v>
      </c>
      <c r="H80" s="12" t="s">
        <v>314</v>
      </c>
      <c r="I80" s="14" t="s">
        <v>315</v>
      </c>
      <c r="J80" s="12" t="n">
        <v>24</v>
      </c>
      <c r="K80" s="12" t="s">
        <v>22</v>
      </c>
      <c r="L80" s="13" t="s">
        <v>293</v>
      </c>
      <c r="M80" s="16" t="s">
        <v>316</v>
      </c>
    </row>
    <row r="81" customFormat="false" ht="18" hidden="false" customHeight="true" outlineLevel="0" collapsed="false">
      <c r="A81" s="17" t="n">
        <v>79</v>
      </c>
      <c r="B81" s="18" t="s">
        <v>317</v>
      </c>
      <c r="C81" s="19" t="s">
        <v>318</v>
      </c>
      <c r="D81" s="17" t="n">
        <v>2</v>
      </c>
      <c r="E81" s="17" t="n">
        <v>8</v>
      </c>
      <c r="F81" s="20" t="n">
        <v>46279</v>
      </c>
      <c r="G81" s="20" t="n">
        <v>46288</v>
      </c>
      <c r="H81" s="17" t="s">
        <v>292</v>
      </c>
      <c r="I81" s="19" t="s">
        <v>319</v>
      </c>
      <c r="J81" s="17" t="n">
        <v>88</v>
      </c>
      <c r="K81" s="17" t="s">
        <v>22</v>
      </c>
      <c r="L81" s="18" t="s">
        <v>293</v>
      </c>
      <c r="M81" s="21" t="s">
        <v>320</v>
      </c>
    </row>
    <row r="82" customFormat="false" ht="15" hidden="false" customHeight="true" outlineLevel="0" collapsed="false">
      <c r="A82" s="12" t="n">
        <v>80</v>
      </c>
      <c r="B82" s="13" t="s">
        <v>321</v>
      </c>
      <c r="C82" s="14" t="s">
        <v>322</v>
      </c>
      <c r="D82" s="12" t="n">
        <v>3</v>
      </c>
      <c r="E82" s="12" t="n">
        <v>3</v>
      </c>
      <c r="F82" s="15" t="n">
        <v>46279</v>
      </c>
      <c r="G82" s="15" t="n">
        <v>46281</v>
      </c>
      <c r="H82" s="12" t="s">
        <v>292</v>
      </c>
      <c r="I82" s="14" t="s">
        <v>323</v>
      </c>
      <c r="J82" s="12" t="n">
        <v>24</v>
      </c>
      <c r="K82" s="12" t="s">
        <v>22</v>
      </c>
      <c r="L82" s="13" t="s">
        <v>293</v>
      </c>
      <c r="M82" s="16" t="s">
        <v>324</v>
      </c>
    </row>
    <row r="83" customFormat="false" ht="15" hidden="false" customHeight="true" outlineLevel="0" collapsed="false">
      <c r="A83" s="17" t="n">
        <v>81</v>
      </c>
      <c r="B83" s="18" t="s">
        <v>325</v>
      </c>
      <c r="C83" s="19" t="s">
        <v>326</v>
      </c>
      <c r="D83" s="17" t="n">
        <v>3</v>
      </c>
      <c r="E83" s="17" t="n">
        <v>2</v>
      </c>
      <c r="F83" s="20" t="n">
        <v>46282</v>
      </c>
      <c r="G83" s="20" t="n">
        <v>46283</v>
      </c>
      <c r="H83" s="17" t="s">
        <v>327</v>
      </c>
      <c r="I83" s="19" t="s">
        <v>323</v>
      </c>
      <c r="J83" s="17" t="n">
        <v>16</v>
      </c>
      <c r="K83" s="17" t="s">
        <v>22</v>
      </c>
      <c r="L83" s="18" t="s">
        <v>293</v>
      </c>
      <c r="M83" s="21" t="s">
        <v>328</v>
      </c>
    </row>
    <row r="84" customFormat="false" ht="15" hidden="false" customHeight="true" outlineLevel="0" collapsed="false">
      <c r="A84" s="12" t="n">
        <v>82</v>
      </c>
      <c r="B84" s="13" t="s">
        <v>329</v>
      </c>
      <c r="C84" s="14" t="s">
        <v>330</v>
      </c>
      <c r="D84" s="12" t="n">
        <v>3</v>
      </c>
      <c r="E84" s="12" t="n">
        <v>2</v>
      </c>
      <c r="F84" s="15" t="n">
        <v>46286</v>
      </c>
      <c r="G84" s="15" t="n">
        <v>46287</v>
      </c>
      <c r="H84" s="12" t="s">
        <v>331</v>
      </c>
      <c r="I84" s="14" t="s">
        <v>323</v>
      </c>
      <c r="J84" s="12" t="n">
        <v>16</v>
      </c>
      <c r="K84" s="12" t="s">
        <v>22</v>
      </c>
      <c r="L84" s="13" t="s">
        <v>293</v>
      </c>
      <c r="M84" s="16" t="s">
        <v>332</v>
      </c>
    </row>
    <row r="85" customFormat="false" ht="15" hidden="false" customHeight="true" outlineLevel="0" collapsed="false">
      <c r="A85" s="17" t="n">
        <v>83</v>
      </c>
      <c r="B85" s="18" t="s">
        <v>333</v>
      </c>
      <c r="C85" s="19" t="s">
        <v>334</v>
      </c>
      <c r="D85" s="17" t="n">
        <v>3</v>
      </c>
      <c r="E85" s="17" t="n">
        <v>2</v>
      </c>
      <c r="F85" s="20" t="n">
        <v>46288</v>
      </c>
      <c r="G85" s="20" t="n">
        <v>46289</v>
      </c>
      <c r="H85" s="17" t="s">
        <v>335</v>
      </c>
      <c r="I85" s="19" t="s">
        <v>323</v>
      </c>
      <c r="J85" s="17" t="n">
        <v>16</v>
      </c>
      <c r="K85" s="17" t="s">
        <v>22</v>
      </c>
      <c r="L85" s="18" t="s">
        <v>293</v>
      </c>
      <c r="M85" s="21" t="s">
        <v>336</v>
      </c>
    </row>
    <row r="86" customFormat="false" ht="15" hidden="false" customHeight="true" outlineLevel="0" collapsed="false">
      <c r="A86" s="12" t="n">
        <v>84</v>
      </c>
      <c r="B86" s="13" t="s">
        <v>337</v>
      </c>
      <c r="C86" s="14" t="s">
        <v>338</v>
      </c>
      <c r="D86" s="12" t="n">
        <v>3</v>
      </c>
      <c r="E86" s="12" t="n">
        <v>2</v>
      </c>
      <c r="F86" s="15" t="n">
        <v>46290</v>
      </c>
      <c r="G86" s="15" t="n">
        <v>46293</v>
      </c>
      <c r="H86" s="12" t="s">
        <v>339</v>
      </c>
      <c r="I86" s="14" t="s">
        <v>319</v>
      </c>
      <c r="J86" s="12" t="n">
        <v>16</v>
      </c>
      <c r="K86" s="12" t="s">
        <v>22</v>
      </c>
      <c r="L86" s="13" t="s">
        <v>293</v>
      </c>
      <c r="M86" s="16" t="s">
        <v>340</v>
      </c>
    </row>
    <row r="87" customFormat="false" ht="18" hidden="false" customHeight="true" outlineLevel="0" collapsed="false">
      <c r="A87" s="17" t="n">
        <v>85</v>
      </c>
      <c r="B87" s="18" t="s">
        <v>341</v>
      </c>
      <c r="C87" s="19" t="s">
        <v>342</v>
      </c>
      <c r="D87" s="17" t="n">
        <v>2</v>
      </c>
      <c r="E87" s="17" t="n">
        <v>6</v>
      </c>
      <c r="F87" s="20" t="n">
        <v>46279</v>
      </c>
      <c r="G87" s="20" t="n">
        <v>46286</v>
      </c>
      <c r="H87" s="17" t="s">
        <v>292</v>
      </c>
      <c r="I87" s="19" t="s">
        <v>117</v>
      </c>
      <c r="J87" s="17" t="n">
        <v>48</v>
      </c>
      <c r="K87" s="17" t="s">
        <v>22</v>
      </c>
      <c r="L87" s="18" t="s">
        <v>293</v>
      </c>
      <c r="M87" s="21" t="s">
        <v>343</v>
      </c>
    </row>
    <row r="88" customFormat="false" ht="15" hidden="false" customHeight="true" outlineLevel="0" collapsed="false">
      <c r="A88" s="12" t="n">
        <v>86</v>
      </c>
      <c r="B88" s="13" t="s">
        <v>344</v>
      </c>
      <c r="C88" s="14" t="s">
        <v>345</v>
      </c>
      <c r="D88" s="12" t="n">
        <v>3</v>
      </c>
      <c r="E88" s="12" t="n">
        <v>2</v>
      </c>
      <c r="F88" s="15" t="n">
        <v>46279</v>
      </c>
      <c r="G88" s="15" t="n">
        <v>46280</v>
      </c>
      <c r="H88" s="12" t="s">
        <v>292</v>
      </c>
      <c r="I88" s="14" t="s">
        <v>117</v>
      </c>
      <c r="J88" s="12" t="n">
        <v>16</v>
      </c>
      <c r="K88" s="12" t="s">
        <v>22</v>
      </c>
      <c r="L88" s="13" t="s">
        <v>293</v>
      </c>
      <c r="M88" s="16" t="s">
        <v>346</v>
      </c>
    </row>
    <row r="89" customFormat="false" ht="15" hidden="false" customHeight="true" outlineLevel="0" collapsed="false">
      <c r="A89" s="17" t="n">
        <v>87</v>
      </c>
      <c r="B89" s="18" t="s">
        <v>347</v>
      </c>
      <c r="C89" s="19" t="s">
        <v>348</v>
      </c>
      <c r="D89" s="17" t="n">
        <v>3</v>
      </c>
      <c r="E89" s="17" t="n">
        <v>2</v>
      </c>
      <c r="F89" s="20" t="n">
        <v>46281</v>
      </c>
      <c r="G89" s="20" t="n">
        <v>46282</v>
      </c>
      <c r="H89" s="17" t="s">
        <v>349</v>
      </c>
      <c r="I89" s="19" t="s">
        <v>49</v>
      </c>
      <c r="J89" s="17" t="n">
        <v>8</v>
      </c>
      <c r="K89" s="17" t="s">
        <v>22</v>
      </c>
      <c r="L89" s="18" t="s">
        <v>293</v>
      </c>
      <c r="M89" s="21" t="s">
        <v>350</v>
      </c>
    </row>
    <row r="90" customFormat="false" ht="15" hidden="false" customHeight="true" outlineLevel="0" collapsed="false">
      <c r="A90" s="12" t="n">
        <v>88</v>
      </c>
      <c r="B90" s="13" t="s">
        <v>351</v>
      </c>
      <c r="C90" s="14" t="s">
        <v>352</v>
      </c>
      <c r="D90" s="12" t="n">
        <v>3</v>
      </c>
      <c r="E90" s="12" t="n">
        <v>2</v>
      </c>
      <c r="F90" s="15" t="n">
        <v>46283</v>
      </c>
      <c r="G90" s="15" t="n">
        <v>46286</v>
      </c>
      <c r="H90" s="12" t="s">
        <v>353</v>
      </c>
      <c r="I90" s="14" t="s">
        <v>354</v>
      </c>
      <c r="J90" s="12" t="n">
        <v>16</v>
      </c>
      <c r="K90" s="12" t="s">
        <v>22</v>
      </c>
      <c r="L90" s="13" t="s">
        <v>293</v>
      </c>
      <c r="M90" s="16" t="s">
        <v>355</v>
      </c>
    </row>
    <row r="91" customFormat="false" ht="18" hidden="false" customHeight="true" outlineLevel="0" collapsed="false">
      <c r="A91" s="17" t="n">
        <v>89</v>
      </c>
      <c r="B91" s="18" t="s">
        <v>356</v>
      </c>
      <c r="C91" s="19" t="s">
        <v>357</v>
      </c>
      <c r="D91" s="17" t="n">
        <v>2</v>
      </c>
      <c r="E91" s="17" t="n">
        <v>5</v>
      </c>
      <c r="F91" s="20" t="n">
        <v>46286</v>
      </c>
      <c r="G91" s="20" t="n">
        <v>46290</v>
      </c>
      <c r="H91" s="17" t="s">
        <v>358</v>
      </c>
      <c r="I91" s="19" t="s">
        <v>64</v>
      </c>
      <c r="J91" s="17" t="n">
        <v>48</v>
      </c>
      <c r="K91" s="17" t="s">
        <v>22</v>
      </c>
      <c r="L91" s="18" t="s">
        <v>293</v>
      </c>
      <c r="M91" s="21" t="s">
        <v>359</v>
      </c>
    </row>
    <row r="92" customFormat="false" ht="15" hidden="false" customHeight="true" outlineLevel="0" collapsed="false">
      <c r="A92" s="12" t="n">
        <v>90</v>
      </c>
      <c r="B92" s="13" t="s">
        <v>360</v>
      </c>
      <c r="C92" s="14" t="s">
        <v>361</v>
      </c>
      <c r="D92" s="12" t="n">
        <v>3</v>
      </c>
      <c r="E92" s="12" t="n">
        <v>2</v>
      </c>
      <c r="F92" s="15" t="n">
        <v>46286</v>
      </c>
      <c r="G92" s="15" t="n">
        <v>46287</v>
      </c>
      <c r="H92" s="12" t="s">
        <v>358</v>
      </c>
      <c r="I92" s="14" t="s">
        <v>49</v>
      </c>
      <c r="J92" s="12" t="n">
        <v>16</v>
      </c>
      <c r="K92" s="12" t="s">
        <v>22</v>
      </c>
      <c r="L92" s="13" t="s">
        <v>293</v>
      </c>
      <c r="M92" s="16" t="s">
        <v>362</v>
      </c>
    </row>
    <row r="93" customFormat="false" ht="15" hidden="false" customHeight="true" outlineLevel="0" collapsed="false">
      <c r="A93" s="17" t="n">
        <v>91</v>
      </c>
      <c r="B93" s="18" t="s">
        <v>363</v>
      </c>
      <c r="C93" s="19" t="s">
        <v>364</v>
      </c>
      <c r="D93" s="17" t="n">
        <v>3</v>
      </c>
      <c r="E93" s="17" t="n">
        <v>2</v>
      </c>
      <c r="F93" s="20" t="n">
        <v>46288</v>
      </c>
      <c r="G93" s="20" t="n">
        <v>46289</v>
      </c>
      <c r="H93" s="17" t="s">
        <v>365</v>
      </c>
      <c r="I93" s="19" t="s">
        <v>64</v>
      </c>
      <c r="J93" s="17" t="n">
        <v>24</v>
      </c>
      <c r="K93" s="17" t="s">
        <v>22</v>
      </c>
      <c r="L93" s="18" t="s">
        <v>293</v>
      </c>
      <c r="M93" s="21" t="s">
        <v>366</v>
      </c>
    </row>
    <row r="94" customFormat="false" ht="15" hidden="false" customHeight="true" outlineLevel="0" collapsed="false">
      <c r="A94" s="12" t="n">
        <v>92</v>
      </c>
      <c r="B94" s="13" t="s">
        <v>367</v>
      </c>
      <c r="C94" s="14" t="s">
        <v>368</v>
      </c>
      <c r="D94" s="12" t="n">
        <v>3</v>
      </c>
      <c r="E94" s="12" t="n">
        <v>1</v>
      </c>
      <c r="F94" s="15" t="n">
        <v>46290</v>
      </c>
      <c r="G94" s="15" t="n">
        <v>46290</v>
      </c>
      <c r="H94" s="12" t="s">
        <v>369</v>
      </c>
      <c r="I94" s="14" t="s">
        <v>49</v>
      </c>
      <c r="J94" s="12" t="n">
        <v>8</v>
      </c>
      <c r="K94" s="12" t="s">
        <v>22</v>
      </c>
      <c r="L94" s="13" t="s">
        <v>293</v>
      </c>
      <c r="M94" s="16" t="s">
        <v>370</v>
      </c>
    </row>
    <row r="95" customFormat="false" ht="18" hidden="false" customHeight="true" outlineLevel="0" collapsed="false">
      <c r="A95" s="17" t="n">
        <v>93</v>
      </c>
      <c r="B95" s="18" t="s">
        <v>371</v>
      </c>
      <c r="C95" s="19" t="s">
        <v>372</v>
      </c>
      <c r="D95" s="17" t="n">
        <v>2</v>
      </c>
      <c r="E95" s="17" t="n">
        <v>6</v>
      </c>
      <c r="F95" s="20" t="n">
        <v>46293</v>
      </c>
      <c r="G95" s="20" t="n">
        <v>46300</v>
      </c>
      <c r="H95" s="17" t="s">
        <v>373</v>
      </c>
      <c r="I95" s="19" t="s">
        <v>315</v>
      </c>
      <c r="J95" s="17" t="n">
        <v>32</v>
      </c>
      <c r="K95" s="17" t="s">
        <v>22</v>
      </c>
      <c r="L95" s="18" t="s">
        <v>293</v>
      </c>
      <c r="M95" s="21" t="s">
        <v>374</v>
      </c>
    </row>
    <row r="96" customFormat="false" ht="15" hidden="false" customHeight="true" outlineLevel="0" collapsed="false">
      <c r="A96" s="12" t="n">
        <v>94</v>
      </c>
      <c r="B96" s="13" t="s">
        <v>375</v>
      </c>
      <c r="C96" s="14" t="s">
        <v>376</v>
      </c>
      <c r="D96" s="12" t="n">
        <v>3</v>
      </c>
      <c r="E96" s="12" t="n">
        <v>3</v>
      </c>
      <c r="F96" s="15" t="n">
        <v>46293</v>
      </c>
      <c r="G96" s="15" t="n">
        <v>46295</v>
      </c>
      <c r="H96" s="12" t="s">
        <v>377</v>
      </c>
      <c r="I96" s="14" t="s">
        <v>378</v>
      </c>
      <c r="J96" s="12" t="n">
        <v>24</v>
      </c>
      <c r="K96" s="12" t="s">
        <v>22</v>
      </c>
      <c r="L96" s="13" t="s">
        <v>293</v>
      </c>
      <c r="M96" s="16" t="s">
        <v>379</v>
      </c>
    </row>
    <row r="97" customFormat="false" ht="15" hidden="false" customHeight="true" outlineLevel="0" collapsed="false">
      <c r="A97" s="17" t="n">
        <v>95</v>
      </c>
      <c r="B97" s="18" t="s">
        <v>380</v>
      </c>
      <c r="C97" s="19" t="s">
        <v>381</v>
      </c>
      <c r="D97" s="17" t="n">
        <v>3</v>
      </c>
      <c r="E97" s="17" t="n">
        <v>3</v>
      </c>
      <c r="F97" s="20" t="n">
        <v>46296</v>
      </c>
      <c r="G97" s="20" t="n">
        <v>46300</v>
      </c>
      <c r="H97" s="17" t="s">
        <v>382</v>
      </c>
      <c r="I97" s="19" t="s">
        <v>64</v>
      </c>
      <c r="J97" s="17" t="n">
        <v>8</v>
      </c>
      <c r="K97" s="17" t="s">
        <v>22</v>
      </c>
      <c r="L97" s="18" t="s">
        <v>293</v>
      </c>
      <c r="M97" s="21" t="s">
        <v>383</v>
      </c>
    </row>
    <row r="98" customFormat="false" ht="15" hidden="false" customHeight="true" outlineLevel="0" collapsed="false">
      <c r="A98" s="6" t="n">
        <v>96</v>
      </c>
      <c r="B98" s="10" t="s">
        <v>384</v>
      </c>
      <c r="C98" s="8" t="s">
        <v>385</v>
      </c>
      <c r="D98" s="6" t="n">
        <v>2</v>
      </c>
      <c r="E98" s="6" t="n">
        <v>1</v>
      </c>
      <c r="F98" s="7" t="n">
        <v>46303</v>
      </c>
      <c r="G98" s="7" t="n">
        <v>46303</v>
      </c>
      <c r="H98" s="6" t="s">
        <v>386</v>
      </c>
      <c r="I98" s="8" t="s">
        <v>134</v>
      </c>
      <c r="J98" s="6" t="n">
        <v>4</v>
      </c>
      <c r="K98" s="9" t="s">
        <v>16</v>
      </c>
      <c r="L98" s="10" t="s">
        <v>293</v>
      </c>
      <c r="M98" s="11" t="s">
        <v>387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7" min="3" style="0" width="10"/>
    <col collapsed="false" customWidth="true" hidden="false" outlineLevel="0" max="9" min="8" style="0" width="12"/>
  </cols>
  <sheetData>
    <row r="1" customFormat="false" ht="21.75" hidden="false" customHeight="true" outlineLevel="0" collapsed="false">
      <c r="A1" s="1" t="s">
        <v>388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2" t="s">
        <v>389</v>
      </c>
      <c r="B2" s="22"/>
      <c r="C2" s="22"/>
      <c r="D2" s="22"/>
      <c r="E2" s="22"/>
      <c r="F2" s="22"/>
      <c r="G2" s="22"/>
      <c r="H2" s="22"/>
      <c r="I2" s="22"/>
    </row>
    <row r="3" customFormat="false" ht="30" hidden="false" customHeight="true" outlineLevel="0" collapsed="false">
      <c r="A3" s="2" t="s">
        <v>390</v>
      </c>
      <c r="B3" s="2" t="s">
        <v>391</v>
      </c>
      <c r="C3" s="2" t="s">
        <v>392</v>
      </c>
      <c r="D3" s="2" t="s">
        <v>393</v>
      </c>
      <c r="E3" s="2" t="s">
        <v>394</v>
      </c>
      <c r="F3" s="2" t="s">
        <v>395</v>
      </c>
      <c r="G3" s="2" t="s">
        <v>396</v>
      </c>
      <c r="H3" s="2" t="s">
        <v>397</v>
      </c>
      <c r="I3" s="2" t="s">
        <v>398</v>
      </c>
    </row>
    <row r="4" customFormat="false" ht="15" hidden="false" customHeight="false" outlineLevel="0" collapsed="false">
      <c r="A4" s="23" t="s">
        <v>399</v>
      </c>
      <c r="B4" s="24" t="s">
        <v>400</v>
      </c>
      <c r="C4" s="17" t="n">
        <v>8</v>
      </c>
      <c r="D4" s="17" t="n">
        <v>200</v>
      </c>
      <c r="E4" s="17" t="n">
        <v>200</v>
      </c>
      <c r="F4" s="17" t="n">
        <v>160</v>
      </c>
      <c r="G4" s="17" t="n">
        <v>80</v>
      </c>
      <c r="H4" s="25" t="n">
        <f aca="false">SUM(C4:G4)</f>
        <v>648</v>
      </c>
      <c r="I4" s="26" t="n">
        <f aca="false">H4/40</f>
        <v>16.2</v>
      </c>
    </row>
    <row r="5" customFormat="false" ht="15" hidden="false" customHeight="false" outlineLevel="0" collapsed="false">
      <c r="A5" s="27" t="s">
        <v>401</v>
      </c>
      <c r="B5" s="28" t="s">
        <v>400</v>
      </c>
      <c r="C5" s="12" t="n">
        <v>8</v>
      </c>
      <c r="D5" s="12" t="n">
        <v>40</v>
      </c>
      <c r="E5" s="12" t="n">
        <v>40</v>
      </c>
      <c r="F5" s="12" t="n">
        <v>32</v>
      </c>
      <c r="G5" s="12" t="n">
        <v>120</v>
      </c>
      <c r="H5" s="29" t="n">
        <f aca="false">SUM(C5:G5)</f>
        <v>240</v>
      </c>
      <c r="I5" s="30" t="n">
        <f aca="false">H5/40</f>
        <v>6</v>
      </c>
    </row>
    <row r="6" customFormat="false" ht="15" hidden="false" customHeight="false" outlineLevel="0" collapsed="false">
      <c r="A6" s="23" t="s">
        <v>402</v>
      </c>
      <c r="B6" s="24" t="s">
        <v>400</v>
      </c>
      <c r="C6" s="17" t="n">
        <v>4</v>
      </c>
      <c r="D6" s="17" t="n">
        <v>20</v>
      </c>
      <c r="E6" s="17" t="n">
        <v>20</v>
      </c>
      <c r="F6" s="17" t="n">
        <v>64</v>
      </c>
      <c r="G6" s="17" t="n">
        <v>120</v>
      </c>
      <c r="H6" s="25" t="n">
        <f aca="false">SUM(C6:G6)</f>
        <v>228</v>
      </c>
      <c r="I6" s="26" t="n">
        <f aca="false">H6/40</f>
        <v>5.7</v>
      </c>
    </row>
    <row r="7" customFormat="false" ht="15" hidden="false" customHeight="false" outlineLevel="0" collapsed="false">
      <c r="A7" s="27" t="s">
        <v>403</v>
      </c>
      <c r="B7" s="28" t="s">
        <v>400</v>
      </c>
      <c r="C7" s="12" t="n">
        <v>0</v>
      </c>
      <c r="D7" s="12" t="n">
        <v>0</v>
      </c>
      <c r="E7" s="12" t="n">
        <v>80</v>
      </c>
      <c r="F7" s="12" t="n">
        <v>64</v>
      </c>
      <c r="G7" s="12" t="n">
        <v>120</v>
      </c>
      <c r="H7" s="29" t="n">
        <f aca="false">SUM(C7:G7)</f>
        <v>264</v>
      </c>
      <c r="I7" s="30" t="n">
        <f aca="false">H7/40</f>
        <v>6.6</v>
      </c>
    </row>
    <row r="8" customFormat="false" ht="15" hidden="false" customHeight="false" outlineLevel="0" collapsed="false">
      <c r="A8" s="23" t="s">
        <v>404</v>
      </c>
      <c r="B8" s="24" t="s">
        <v>400</v>
      </c>
      <c r="C8" s="17" t="n">
        <v>4</v>
      </c>
      <c r="D8" s="17" t="n">
        <v>4</v>
      </c>
      <c r="E8" s="17" t="n">
        <v>4</v>
      </c>
      <c r="F8" s="17" t="n">
        <v>4</v>
      </c>
      <c r="G8" s="17" t="n">
        <v>4</v>
      </c>
      <c r="H8" s="25" t="n">
        <f aca="false">SUM(C8:G8)</f>
        <v>20</v>
      </c>
      <c r="I8" s="26" t="n">
        <f aca="false">H8/40</f>
        <v>0.5</v>
      </c>
    </row>
    <row r="9" customFormat="false" ht="18" hidden="false" customHeight="true" outlineLevel="0" collapsed="false">
      <c r="A9" s="31" t="s">
        <v>405</v>
      </c>
      <c r="B9" s="31"/>
      <c r="C9" s="32" t="n">
        <f aca="false">SUM(C4:C8)</f>
        <v>24</v>
      </c>
      <c r="D9" s="32" t="n">
        <f aca="false">SUM(D4:D8)</f>
        <v>264</v>
      </c>
      <c r="E9" s="32" t="n">
        <f aca="false">SUM(E4:E8)</f>
        <v>344</v>
      </c>
      <c r="F9" s="32" t="n">
        <f aca="false">SUM(F4:F8)</f>
        <v>324</v>
      </c>
      <c r="G9" s="32" t="n">
        <f aca="false">SUM(G4:G8)</f>
        <v>444</v>
      </c>
      <c r="H9" s="32" t="n">
        <f aca="false">SUM(H4:H8)</f>
        <v>1400</v>
      </c>
      <c r="I9" s="33" t="n">
        <f aca="false">SUM(I4:I8)</f>
        <v>35</v>
      </c>
    </row>
    <row r="11" customFormat="false" ht="18" hidden="false" customHeight="true" outlineLevel="0" collapsed="false">
      <c r="A11" s="34" t="s">
        <v>406</v>
      </c>
      <c r="B11" s="34"/>
      <c r="C11" s="34"/>
      <c r="D11" s="34"/>
      <c r="E11" s="34"/>
      <c r="F11" s="34"/>
      <c r="G11" s="34"/>
      <c r="H11" s="34"/>
      <c r="I11" s="34"/>
    </row>
    <row r="12" customFormat="false" ht="19.5" hidden="false" customHeight="true" outlineLevel="0" collapsed="false">
      <c r="A12" s="35" t="s">
        <v>407</v>
      </c>
      <c r="B12" s="35"/>
      <c r="C12" s="35"/>
      <c r="D12" s="35"/>
      <c r="E12" s="35"/>
      <c r="F12" s="35"/>
      <c r="G12" s="35"/>
      <c r="H12" s="35"/>
      <c r="I12" s="35"/>
    </row>
    <row r="13" customFormat="false" ht="19.5" hidden="false" customHeight="true" outlineLevel="0" collapsed="false">
      <c r="A13" s="35" t="s">
        <v>408</v>
      </c>
      <c r="B13" s="35"/>
      <c r="C13" s="35"/>
      <c r="D13" s="35"/>
      <c r="E13" s="35"/>
      <c r="F13" s="35"/>
      <c r="G13" s="35"/>
      <c r="H13" s="35"/>
      <c r="I13" s="35"/>
    </row>
    <row r="14" customFormat="false" ht="19.5" hidden="false" customHeight="true" outlineLevel="0" collapsed="false">
      <c r="A14" s="35" t="s">
        <v>409</v>
      </c>
      <c r="B14" s="35"/>
      <c r="C14" s="35"/>
      <c r="D14" s="35"/>
      <c r="E14" s="35"/>
      <c r="F14" s="35"/>
      <c r="G14" s="35"/>
      <c r="H14" s="35"/>
      <c r="I14" s="35"/>
    </row>
    <row r="15" customFormat="false" ht="19.5" hidden="false" customHeight="true" outlineLevel="0" collapsed="false">
      <c r="A15" s="35" t="s">
        <v>410</v>
      </c>
      <c r="B15" s="35"/>
      <c r="C15" s="35"/>
      <c r="D15" s="35"/>
      <c r="E15" s="35"/>
      <c r="F15" s="35"/>
      <c r="G15" s="35"/>
      <c r="H15" s="35"/>
      <c r="I15" s="35"/>
    </row>
    <row r="16" customFormat="false" ht="19.5" hidden="false" customHeight="true" outlineLevel="0" collapsed="false">
      <c r="A16" s="35" t="s">
        <v>411</v>
      </c>
      <c r="B16" s="35"/>
      <c r="C16" s="35"/>
      <c r="D16" s="35"/>
      <c r="E16" s="35"/>
      <c r="F16" s="35"/>
      <c r="G16" s="35"/>
      <c r="H16" s="35"/>
      <c r="I16" s="35"/>
    </row>
    <row r="17" customFormat="false" ht="19.5" hidden="false" customHeight="true" outlineLevel="0" collapsed="false">
      <c r="A17" s="35" t="s">
        <v>412</v>
      </c>
      <c r="B17" s="35"/>
      <c r="C17" s="35"/>
      <c r="D17" s="35"/>
      <c r="E17" s="35"/>
      <c r="F17" s="35"/>
      <c r="G17" s="35"/>
      <c r="H17" s="35"/>
      <c r="I17" s="35"/>
    </row>
    <row r="18" customFormat="false" ht="19.5" hidden="false" customHeight="true" outlineLevel="0" collapsed="false">
      <c r="A18" s="35" t="s">
        <v>413</v>
      </c>
      <c r="B18" s="35"/>
      <c r="C18" s="35"/>
      <c r="D18" s="35"/>
      <c r="E18" s="35"/>
      <c r="F18" s="35"/>
      <c r="G18" s="35"/>
      <c r="H18" s="35"/>
      <c r="I18" s="35"/>
    </row>
    <row r="19" customFormat="false" ht="19.5" hidden="false" customHeight="true" outlineLevel="0" collapsed="false">
      <c r="A19" s="35" t="s">
        <v>414</v>
      </c>
      <c r="B19" s="35"/>
      <c r="C19" s="35"/>
      <c r="D19" s="35"/>
      <c r="E19" s="35"/>
      <c r="F19" s="35"/>
      <c r="G19" s="35"/>
      <c r="H19" s="35"/>
      <c r="I19" s="35"/>
    </row>
  </sheetData>
  <mergeCells count="12">
    <mergeCell ref="A1:I1"/>
    <mergeCell ref="A2:I2"/>
    <mergeCell ref="A9:B9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</cols>
  <sheetData>
    <row r="1" customFormat="false" ht="21.75" hidden="false" customHeight="true" outlineLevel="0" collapsed="false">
      <c r="A1" s="1" t="s">
        <v>415</v>
      </c>
      <c r="B1" s="1"/>
    </row>
    <row r="2" customFormat="false" ht="19.5" hidden="false" customHeight="true" outlineLevel="0" collapsed="false">
      <c r="A2" s="34" t="s">
        <v>416</v>
      </c>
      <c r="B2" s="34"/>
    </row>
    <row r="3" customFormat="false" ht="15" hidden="false" customHeight="true" outlineLevel="0" collapsed="false">
      <c r="A3" s="36" t="s">
        <v>417</v>
      </c>
      <c r="B3" s="37" t="s">
        <v>418</v>
      </c>
    </row>
    <row r="4" customFormat="false" ht="45" hidden="false" customHeight="true" outlineLevel="0" collapsed="false">
      <c r="A4" s="38" t="s">
        <v>419</v>
      </c>
      <c r="B4" s="39" t="s">
        <v>420</v>
      </c>
    </row>
    <row r="5" customFormat="false" ht="15" hidden="false" customHeight="true" outlineLevel="0" collapsed="false">
      <c r="A5" s="36" t="s">
        <v>421</v>
      </c>
      <c r="B5" s="37" t="s">
        <v>422</v>
      </c>
    </row>
    <row r="6" customFormat="false" ht="15" hidden="false" customHeight="true" outlineLevel="0" collapsed="false">
      <c r="A6" s="38" t="s">
        <v>423</v>
      </c>
      <c r="B6" s="39" t="s">
        <v>424</v>
      </c>
    </row>
    <row r="7" customFormat="false" ht="15" hidden="false" customHeight="true" outlineLevel="0" collapsed="false">
      <c r="A7" s="36" t="s">
        <v>425</v>
      </c>
      <c r="B7" s="37" t="s">
        <v>426</v>
      </c>
    </row>
    <row r="8" customFormat="false" ht="7.5" hidden="false" customHeight="true" outlineLevel="0" collapsed="false"/>
    <row r="9" customFormat="false" ht="19.5" hidden="false" customHeight="true" outlineLevel="0" collapsed="false">
      <c r="A9" s="34" t="s">
        <v>427</v>
      </c>
      <c r="B9" s="34"/>
    </row>
    <row r="10" customFormat="false" ht="15" hidden="false" customHeight="true" outlineLevel="0" collapsed="false">
      <c r="A10" s="38" t="s">
        <v>417</v>
      </c>
      <c r="B10" s="39" t="s">
        <v>428</v>
      </c>
    </row>
    <row r="11" customFormat="false" ht="15" hidden="false" customHeight="true" outlineLevel="0" collapsed="false">
      <c r="A11" s="36" t="s">
        <v>419</v>
      </c>
      <c r="B11" s="37" t="s">
        <v>429</v>
      </c>
    </row>
    <row r="12" customFormat="false" ht="45" hidden="false" customHeight="true" outlineLevel="0" collapsed="false">
      <c r="A12" s="38" t="s">
        <v>421</v>
      </c>
      <c r="B12" s="39" t="s">
        <v>430</v>
      </c>
    </row>
    <row r="13" customFormat="false" ht="15" hidden="false" customHeight="true" outlineLevel="0" collapsed="false">
      <c r="A13" s="36" t="s">
        <v>423</v>
      </c>
      <c r="B13" s="37" t="s">
        <v>431</v>
      </c>
    </row>
    <row r="14" customFormat="false" ht="15" hidden="false" customHeight="true" outlineLevel="0" collapsed="false">
      <c r="A14" s="38" t="s">
        <v>425</v>
      </c>
      <c r="B14" s="39" t="s">
        <v>432</v>
      </c>
    </row>
    <row r="15" customFormat="false" ht="15" hidden="false" customHeight="true" outlineLevel="0" collapsed="false">
      <c r="A15" s="36" t="s">
        <v>433</v>
      </c>
      <c r="B15" s="37" t="s">
        <v>434</v>
      </c>
    </row>
    <row r="16" customFormat="false" ht="7.5" hidden="false" customHeight="true" outlineLevel="0" collapsed="false"/>
    <row r="17" customFormat="false" ht="19.5" hidden="false" customHeight="true" outlineLevel="0" collapsed="false">
      <c r="A17" s="34" t="s">
        <v>435</v>
      </c>
      <c r="B17" s="34"/>
    </row>
    <row r="18" customFormat="false" ht="15" hidden="false" customHeight="true" outlineLevel="0" collapsed="false">
      <c r="A18" s="38" t="s">
        <v>436</v>
      </c>
      <c r="B18" s="39" t="s">
        <v>437</v>
      </c>
    </row>
    <row r="19" customFormat="false" ht="15" hidden="false" customHeight="true" outlineLevel="0" collapsed="false">
      <c r="A19" s="36" t="s">
        <v>438</v>
      </c>
      <c r="B19" s="37" t="s">
        <v>439</v>
      </c>
    </row>
    <row r="20" customFormat="false" ht="15" hidden="false" customHeight="true" outlineLevel="0" collapsed="false">
      <c r="A20" s="38" t="s">
        <v>440</v>
      </c>
      <c r="B20" s="39" t="s">
        <v>441</v>
      </c>
    </row>
    <row r="21" customFormat="false" ht="15" hidden="false" customHeight="true" outlineLevel="0" collapsed="false">
      <c r="A21" s="36" t="s">
        <v>442</v>
      </c>
      <c r="B21" s="37" t="s">
        <v>443</v>
      </c>
    </row>
  </sheetData>
  <mergeCells count="4">
    <mergeCell ref="A1:B1"/>
    <mergeCell ref="A2:B2"/>
    <mergeCell ref="A9:B9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2026-05-13T03:02:11Z</dcterms:created>
  <dc:creator>openpyxl</dc:creator>
  <dc:description/>
  <dc:language>en-US</dc:language>
  <cp:lastModifiedBy/>
  <dcterms:modified xsi:type="dcterms:W3CDTF">2026-05-13T03:02:11Z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