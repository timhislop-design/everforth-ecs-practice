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 Scenarios" sheetId="2" state="visible" r:id="rId2"/>
    <sheet xmlns:r="http://schemas.openxmlformats.org/officeDocument/2006/relationships" name="Execution Log" sheetId="3" state="visible" r:id="rId3"/>
    <sheet xmlns:r="http://schemas.openxmlformats.org/officeDocument/2006/relationships" name="Defect Log"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2"/>
    </font>
    <font>
      <name val="Calibri"/>
      <b val="1"/>
      <color rgb="00FFFFFF"/>
      <sz val="10"/>
    </font>
    <font>
      <name val="Calibri"/>
      <sz val="9"/>
    </font>
    <font>
      <name val="Calibri"/>
      <b val="1"/>
      <sz val="9"/>
    </font>
  </fonts>
  <fills count="6">
    <fill>
      <patternFill/>
    </fill>
    <fill>
      <patternFill patternType="gray125"/>
    </fill>
    <fill>
      <patternFill patternType="solid">
        <fgColor rgb="000A2240"/>
      </patternFill>
    </fill>
    <fill>
      <patternFill patternType="solid">
        <fgColor rgb="0000A9A5"/>
      </patternFill>
    </fill>
    <fill>
      <patternFill patternType="solid">
        <fgColor rgb="00F5F7F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0" fillId="5" borderId="1" pivotButton="0" quotePrefix="0" xfId="0"/>
    <xf numFmtId="0" fontId="0" fillId="0" borderId="1" pivotButton="0" quotePrefix="0" xfId="0"/>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80" customWidth="1" min="2" max="2"/>
  </cols>
  <sheetData>
    <row r="1" ht="35" customHeight="1">
      <c r="A1" s="1" t="inlineStr">
        <is>
          <t>ECS FEDERAL</t>
        </is>
      </c>
    </row>
    <row r="2">
      <c r="A2" s="2" t="inlineStr">
        <is>
          <t>UAT Test Pack — Master Template</t>
        </is>
      </c>
    </row>
    <row r="4" ht="50" customHeight="1">
      <c r="A4" s="3" t="inlineStr">
        <is>
          <t>Document ID</t>
        </is>
      </c>
      <c r="B4" s="4" t="inlineStr">
        <is>
          <t>INT-UAT-01 v1.0</t>
        </is>
      </c>
    </row>
    <row r="5" ht="50" customHeight="1">
      <c r="A5" s="3" t="inlineStr">
        <is>
          <t>Purpose</t>
        </is>
      </c>
      <c r="B5" s="4" t="inlineStr">
        <is>
          <t>Master template for UAT test execution. One workbook per module / sprint.</t>
        </is>
      </c>
    </row>
    <row r="6" ht="50" customHeight="1">
      <c r="A6" s="3" t="inlineStr">
        <is>
          <t>How to use</t>
        </is>
      </c>
      <c r="B6" s="4" t="inlineStr">
        <is>
          <t>1. Copy this workbook for each UAT sprint
2. Populate test scenarios in the Test Scenarios tab
3. Testers record results in the Execution Log tab
4. Track defects in the Defect Log tab
5. EM reviews the Summary Dashboard tab for go/no-go</t>
        </is>
      </c>
    </row>
    <row r="7" ht="50" customHeight="1">
      <c r="A7" s="3" t="inlineStr">
        <is>
          <t>Tab guide</t>
        </is>
      </c>
      <c r="B7" s="4" t="inlineStr">
        <is>
          <t>Instructions: This tab
Test Scenarios: Pre-defined scenarios to test
Execution Log: Tester records pass/fail/blocked for each scenario
Defect Log: All identified defects tracked here
Summary Dashboard: EM view — UAT health at a glance</t>
        </is>
      </c>
    </row>
    <row r="8" ht="50" customHeight="1">
      <c r="A8" s="3" t="inlineStr">
        <is>
          <t>Pass/Fail Criteria</t>
        </is>
      </c>
      <c r="B8" s="4" t="inlineStr">
        <is>
          <t>PASS: Scenario behaves exactly as described in expected result
FAIL: Any deviation from expected result
BLOCKED: Tester cannot execute due to environment or data issue
SKIPPED: Agreed out of scope for this UAT cycle (requires EM approval)</t>
        </is>
      </c>
    </row>
    <row r="9" ht="50" customHeight="1">
      <c r="A9" s="3" t="inlineStr">
        <is>
          <t>Go/No-Go Rule</t>
        </is>
      </c>
      <c r="B9" s="4" t="inlineStr">
        <is>
          <t>Green: 100% Pass, 0 open Severity 1/2 defects
Amber: &gt;95% Pass, no open Severity 1 defects, all Severity 2 have mitigation
Red: Any open Severity 1 defects, or Pass rate &lt; 95%</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14" customWidth="1" min="2" max="2"/>
    <col width="24" customWidth="1" min="3" max="3"/>
    <col width="28" customWidth="1" min="4" max="4"/>
    <col width="36" customWidth="1" min="5" max="5"/>
    <col width="36" customWidth="1" min="6" max="6"/>
    <col width="12" customWidth="1" min="7" max="7"/>
  </cols>
  <sheetData>
    <row r="1" ht="30" customHeight="1">
      <c r="A1" s="5" t="inlineStr">
        <is>
          <t>Scenario ID</t>
        </is>
      </c>
      <c r="B1" s="5" t="inlineStr">
        <is>
          <t>Module</t>
        </is>
      </c>
      <c r="C1" s="5" t="inlineStr">
        <is>
          <t>Scenario Name</t>
        </is>
      </c>
      <c r="D1" s="5" t="inlineStr">
        <is>
          <t>Pre-Conditions</t>
        </is>
      </c>
      <c r="E1" s="5" t="inlineStr">
        <is>
          <t>Test Steps</t>
        </is>
      </c>
      <c r="F1" s="5" t="inlineStr">
        <is>
          <t>Expected Result</t>
        </is>
      </c>
      <c r="G1" s="5" t="inlineStr">
        <is>
          <t>Priority (H/M/L)</t>
        </is>
      </c>
    </row>
    <row r="2" ht="60" customHeight="1">
      <c r="A2" s="6" t="inlineStr">
        <is>
          <t>INC-001</t>
        </is>
      </c>
      <c r="B2" s="6" t="inlineStr">
        <is>
          <t>Incident</t>
        </is>
      </c>
      <c r="C2" s="6" t="inlineStr">
        <is>
          <t>Create incident via self-service</t>
        </is>
      </c>
      <c r="D2" s="6" t="inlineStr">
        <is>
          <t>User logged into Employee Center</t>
        </is>
      </c>
      <c r="E2" s="6" t="inlineStr">
        <is>
          <t>1. Navigate to Employee Center
2. Click 'Report an Issue'
3. Complete form
4. Submit</t>
        </is>
      </c>
      <c r="F2" s="6" t="inlineStr">
        <is>
          <t>Incident created with correct category, priority auto-assigned, confirmation email sent to user</t>
        </is>
      </c>
      <c r="G2" s="6" t="inlineStr">
        <is>
          <t>H</t>
        </is>
      </c>
    </row>
    <row r="3" ht="60" customHeight="1">
      <c r="A3" s="4" t="inlineStr">
        <is>
          <t>INC-002</t>
        </is>
      </c>
      <c r="B3" s="4" t="inlineStr">
        <is>
          <t>Incident</t>
        </is>
      </c>
      <c r="C3" s="4" t="inlineStr">
        <is>
          <t>SLA timer starts on incident creation</t>
        </is>
      </c>
      <c r="D3" s="4" t="inlineStr">
        <is>
          <t>Incident management SLA configured</t>
        </is>
      </c>
      <c r="E3" s="4" t="inlineStr">
        <is>
          <t>1. Create a P2 incident
2. Check SLA field immediately after creation</t>
        </is>
      </c>
      <c r="F3" s="4" t="inlineStr">
        <is>
          <t>SLA timer starts within 1 minute of creation; breach time visible on record</t>
        </is>
      </c>
      <c r="G3" s="4" t="inlineStr">
        <is>
          <t>H</t>
        </is>
      </c>
    </row>
    <row r="4" ht="60" customHeight="1">
      <c r="A4" s="6" t="inlineStr">
        <is>
          <t>INC-003</t>
        </is>
      </c>
      <c r="B4" s="6" t="inlineStr">
        <is>
          <t>Incident</t>
        </is>
      </c>
      <c r="C4" s="6" t="inlineStr">
        <is>
          <t>Assign incident to group via assignment rule</t>
        </is>
      </c>
      <c r="D4" s="6" t="inlineStr">
        <is>
          <t>Assignment rules configured for at least 1 category</t>
        </is>
      </c>
      <c r="E4" s="6" t="inlineStr">
        <is>
          <t>1. Create incident with category = Network
2. Save and check Assignment Group field</t>
        </is>
      </c>
      <c r="F4" s="6" t="inlineStr">
        <is>
          <t>Assignment Group populated automatically per assignment rule; no manual selection needed</t>
        </is>
      </c>
      <c r="G4" s="6" t="inlineStr">
        <is>
          <t>H</t>
        </is>
      </c>
    </row>
    <row r="5" ht="60" customHeight="1">
      <c r="A5" s="4" t="inlineStr">
        <is>
          <t>CAT-001</t>
        </is>
      </c>
      <c r="B5" s="4" t="inlineStr">
        <is>
          <t>Service Catalog</t>
        </is>
      </c>
      <c r="C5" s="4" t="inlineStr">
        <is>
          <t>Submit hardware request and trigger approval</t>
        </is>
      </c>
      <c r="D5" s="4" t="inlineStr">
        <is>
          <t>Catalog item with approval workflow configured</t>
        </is>
      </c>
      <c r="E5" s="4" t="inlineStr">
        <is>
          <t>1. Log in as standard user
2. Request 'Laptop' from catalog
3. Complete all variables
4. Submit</t>
        </is>
      </c>
      <c r="F5" s="4" t="inlineStr">
        <is>
          <t>Request created; approval task assigned to correct approver; requester receives confirmation notification</t>
        </is>
      </c>
      <c r="G5" s="4" t="inlineStr">
        <is>
          <t>H</t>
        </is>
      </c>
    </row>
    <row r="6" ht="60" customHeight="1">
      <c r="A6" s="6" t="inlineStr">
        <is>
          <t>CAT-002</t>
        </is>
      </c>
      <c r="B6" s="6" t="inlineStr">
        <is>
          <t>Service Catalog</t>
        </is>
      </c>
      <c r="C6" s="6" t="inlineStr">
        <is>
          <t>Approve request and advance to fulfillment</t>
        </is>
      </c>
      <c r="D6" s="6" t="inlineStr">
        <is>
          <t>Approval pending from CAT-001</t>
        </is>
      </c>
      <c r="E6" s="6" t="inlineStr">
        <is>
          <t>1. Log in as approver
2. Navigate to My Approvals
3. Approve the laptop request</t>
        </is>
      </c>
      <c r="F6" s="6" t="inlineStr">
        <is>
          <t>Request moves to In Fulfillment state; fulfillment task assigned to IT group; requester notified</t>
        </is>
      </c>
      <c r="G6" s="6" t="inlineStr">
        <is>
          <t>H</t>
        </is>
      </c>
    </row>
    <row r="7" ht="60" customHeight="1">
      <c r="A7" s="4" t="inlineStr">
        <is>
          <t>CHG-001</t>
        </is>
      </c>
      <c r="B7" s="4" t="inlineStr">
        <is>
          <t>Change</t>
        </is>
      </c>
      <c r="C7" s="4" t="inlineStr">
        <is>
          <t>Create and submit Normal change</t>
        </is>
      </c>
      <c r="D7" s="4" t="inlineStr">
        <is>
          <t>Change Management module active; CAB workbench configured</t>
        </is>
      </c>
      <c r="E7" s="4" t="inlineStr">
        <is>
          <t>1. Navigate to Change &gt; Create New &gt; Normal
2. Complete all required fields
3. Complete risk assessment
4. Submit for approval</t>
        </is>
      </c>
      <c r="F7" s="4" t="inlineStr">
        <is>
          <t>Change enters Assess state; CAB task created; change appears in CAB workbench for next meeting</t>
        </is>
      </c>
      <c r="G7" s="4" t="inlineStr">
        <is>
          <t>H</t>
        </is>
      </c>
    </row>
    <row r="8" ht="60" customHeight="1">
      <c r="A8" s="6" t="inlineStr">
        <is>
          <t>HAM-001</t>
        </is>
      </c>
      <c r="B8" s="6" t="inlineStr">
        <is>
          <t>HAM</t>
        </is>
      </c>
      <c r="C8" s="6" t="inlineStr">
        <is>
          <t>Receive hardware into stock room</t>
        </is>
      </c>
      <c r="D8" s="6" t="inlineStr">
        <is>
          <t>Stock room configured; at least 1 hardware model in catalog</t>
        </is>
      </c>
      <c r="E8" s="6" t="inlineStr">
        <is>
          <t>1. Navigate to HAM &gt; Receiving
2. Create receiving order for 5 laptops
3. Receive all 5</t>
        </is>
      </c>
      <c r="F8" s="6" t="inlineStr">
        <is>
          <t>5 laptop assets created in On Stock state; stock room quantity updated; asset records show correct model and attributes</t>
        </is>
      </c>
      <c r="G8" s="6" t="inlineStr">
        <is>
          <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2" customWidth="1" min="1" max="1"/>
    <col width="14" customWidth="1" min="2" max="2"/>
    <col width="28" customWidth="1" min="3" max="3"/>
    <col width="18" customWidth="1" min="4" max="4"/>
    <col width="12" customWidth="1" min="5" max="5"/>
    <col width="20" customWidth="1" min="6" max="6"/>
    <col width="16" customWidth="1" min="7" max="7"/>
    <col width="36" customWidth="1" min="8" max="8"/>
  </cols>
  <sheetData>
    <row r="1" ht="30" customHeight="1">
      <c r="A1" s="5" t="inlineStr">
        <is>
          <t>Scenario ID</t>
        </is>
      </c>
      <c r="B1" s="5" t="inlineStr">
        <is>
          <t>Module</t>
        </is>
      </c>
      <c r="C1" s="5" t="inlineStr">
        <is>
          <t>Scenario Name</t>
        </is>
      </c>
      <c r="D1" s="5" t="inlineStr">
        <is>
          <t>Tester Name</t>
        </is>
      </c>
      <c r="E1" s="5" t="inlineStr">
        <is>
          <t>Test Date</t>
        </is>
      </c>
      <c r="F1" s="5" t="inlineStr">
        <is>
          <t>Result (PASS/FAIL/BLOCKED/SKIP)</t>
        </is>
      </c>
      <c r="G1" s="5" t="inlineStr">
        <is>
          <t>Defect ID (if FAIL)</t>
        </is>
      </c>
      <c r="H1" s="5" t="inlineStr">
        <is>
          <t>Notes</t>
        </is>
      </c>
    </row>
    <row r="2" ht="22" customHeight="1">
      <c r="A2" s="7" t="n"/>
      <c r="B2" s="7" t="n"/>
      <c r="C2" s="7" t="n"/>
      <c r="D2" s="7" t="n"/>
      <c r="E2" s="7" t="n"/>
      <c r="F2" s="7" t="n"/>
      <c r="G2" s="7" t="n"/>
      <c r="H2" s="7" t="n"/>
    </row>
    <row r="3" ht="22" customHeight="1">
      <c r="A3" s="8" t="n"/>
      <c r="B3" s="8" t="n"/>
      <c r="C3" s="8" t="n"/>
      <c r="D3" s="8" t="n"/>
      <c r="E3" s="8" t="n"/>
      <c r="F3" s="8" t="n"/>
      <c r="G3" s="8" t="n"/>
      <c r="H3" s="8" t="n"/>
    </row>
    <row r="4" ht="22" customHeight="1">
      <c r="A4" s="7" t="n"/>
      <c r="B4" s="7" t="n"/>
      <c r="C4" s="7" t="n"/>
      <c r="D4" s="7" t="n"/>
      <c r="E4" s="7" t="n"/>
      <c r="F4" s="7" t="n"/>
      <c r="G4" s="7" t="n"/>
      <c r="H4" s="7" t="n"/>
    </row>
    <row r="5" ht="22" customHeight="1">
      <c r="A5" s="8" t="n"/>
      <c r="B5" s="8" t="n"/>
      <c r="C5" s="8" t="n"/>
      <c r="D5" s="8" t="n"/>
      <c r="E5" s="8" t="n"/>
      <c r="F5" s="8" t="n"/>
      <c r="G5" s="8" t="n"/>
      <c r="H5" s="8" t="n"/>
    </row>
    <row r="6" ht="22" customHeight="1">
      <c r="A6" s="7" t="n"/>
      <c r="B6" s="7" t="n"/>
      <c r="C6" s="7" t="n"/>
      <c r="D6" s="7" t="n"/>
      <c r="E6" s="7" t="n"/>
      <c r="F6" s="7" t="n"/>
      <c r="G6" s="7" t="n"/>
      <c r="H6" s="7" t="n"/>
    </row>
    <row r="7" ht="22" customHeight="1">
      <c r="A7" s="8" t="n"/>
      <c r="B7" s="8" t="n"/>
      <c r="C7" s="8" t="n"/>
      <c r="D7" s="8" t="n"/>
      <c r="E7" s="8" t="n"/>
      <c r="F7" s="8" t="n"/>
      <c r="G7" s="8" t="n"/>
      <c r="H7" s="8" t="n"/>
    </row>
    <row r="8" ht="22" customHeight="1">
      <c r="A8" s="7" t="n"/>
      <c r="B8" s="7" t="n"/>
      <c r="C8" s="7" t="n"/>
      <c r="D8" s="7" t="n"/>
      <c r="E8" s="7" t="n"/>
      <c r="F8" s="7" t="n"/>
      <c r="G8" s="7" t="n"/>
      <c r="H8" s="7" t="n"/>
    </row>
    <row r="9" ht="22" customHeight="1">
      <c r="A9" s="8" t="n"/>
      <c r="B9" s="8" t="n"/>
      <c r="C9" s="8" t="n"/>
      <c r="D9" s="8" t="n"/>
      <c r="E9" s="8" t="n"/>
      <c r="F9" s="8" t="n"/>
      <c r="G9" s="8" t="n"/>
      <c r="H9" s="8" t="n"/>
    </row>
    <row r="10" ht="22" customHeight="1">
      <c r="A10" s="7" t="n"/>
      <c r="B10" s="7" t="n"/>
      <c r="C10" s="7" t="n"/>
      <c r="D10" s="7" t="n"/>
      <c r="E10" s="7" t="n"/>
      <c r="F10" s="7" t="n"/>
      <c r="G10" s="7" t="n"/>
      <c r="H10" s="7" t="n"/>
    </row>
    <row r="11" ht="22" customHeight="1">
      <c r="A11" s="8" t="n"/>
      <c r="B11" s="8" t="n"/>
      <c r="C11" s="8" t="n"/>
      <c r="D11" s="8" t="n"/>
      <c r="E11" s="8" t="n"/>
      <c r="F11" s="8" t="n"/>
      <c r="G11" s="8" t="n"/>
      <c r="H11" s="8" t="n"/>
    </row>
    <row r="12" ht="22" customHeight="1">
      <c r="A12" s="7" t="n"/>
      <c r="B12" s="7" t="n"/>
      <c r="C12" s="7" t="n"/>
      <c r="D12" s="7" t="n"/>
      <c r="E12" s="7" t="n"/>
      <c r="F12" s="7" t="n"/>
      <c r="G12" s="7" t="n"/>
      <c r="H12" s="7" t="n"/>
    </row>
    <row r="13" ht="22" customHeight="1">
      <c r="A13" s="8" t="n"/>
      <c r="B13" s="8" t="n"/>
      <c r="C13" s="8" t="n"/>
      <c r="D13" s="8" t="n"/>
      <c r="E13" s="8" t="n"/>
      <c r="F13" s="8" t="n"/>
      <c r="G13" s="8" t="n"/>
      <c r="H13" s="8" t="n"/>
    </row>
    <row r="14" ht="22" customHeight="1">
      <c r="A14" s="7" t="n"/>
      <c r="B14" s="7" t="n"/>
      <c r="C14" s="7" t="n"/>
      <c r="D14" s="7" t="n"/>
      <c r="E14" s="7" t="n"/>
      <c r="F14" s="7" t="n"/>
      <c r="G14" s="7" t="n"/>
      <c r="H14" s="7" t="n"/>
    </row>
    <row r="15" ht="22" customHeight="1">
      <c r="A15" s="8" t="n"/>
      <c r="B15" s="8" t="n"/>
      <c r="C15" s="8" t="n"/>
      <c r="D15" s="8" t="n"/>
      <c r="E15" s="8" t="n"/>
      <c r="F15" s="8" t="n"/>
      <c r="G15" s="8" t="n"/>
      <c r="H15" s="8" t="n"/>
    </row>
    <row r="16" ht="22" customHeight="1">
      <c r="A16" s="7" t="n"/>
      <c r="B16" s="7" t="n"/>
      <c r="C16" s="7" t="n"/>
      <c r="D16" s="7" t="n"/>
      <c r="E16" s="7" t="n"/>
      <c r="F16" s="7" t="n"/>
      <c r="G16" s="7" t="n"/>
      <c r="H16" s="7" t="n"/>
    </row>
    <row r="17" ht="22" customHeight="1">
      <c r="A17" s="8" t="n"/>
      <c r="B17" s="8" t="n"/>
      <c r="C17" s="8" t="n"/>
      <c r="D17" s="8" t="n"/>
      <c r="E17" s="8" t="n"/>
      <c r="F17" s="8" t="n"/>
      <c r="G17" s="8" t="n"/>
      <c r="H17" s="8" t="n"/>
    </row>
    <row r="18" ht="22" customHeight="1">
      <c r="A18" s="7" t="n"/>
      <c r="B18" s="7" t="n"/>
      <c r="C18" s="7" t="n"/>
      <c r="D18" s="7" t="n"/>
      <c r="E18" s="7" t="n"/>
      <c r="F18" s="7" t="n"/>
      <c r="G18" s="7" t="n"/>
      <c r="H18" s="7" t="n"/>
    </row>
    <row r="19" ht="22" customHeight="1">
      <c r="A19" s="8" t="n"/>
      <c r="B19" s="8" t="n"/>
      <c r="C19" s="8" t="n"/>
      <c r="D19" s="8" t="n"/>
      <c r="E19" s="8" t="n"/>
      <c r="F19" s="8" t="n"/>
      <c r="G19" s="8" t="n"/>
      <c r="H19" s="8" t="n"/>
    </row>
    <row r="20" ht="22" customHeight="1">
      <c r="A20" s="7" t="n"/>
      <c r="B20" s="7" t="n"/>
      <c r="C20" s="7" t="n"/>
      <c r="D20" s="7" t="n"/>
      <c r="E20" s="7" t="n"/>
      <c r="F20" s="7" t="n"/>
      <c r="G20" s="7" t="n"/>
      <c r="H20" s="7" t="n"/>
    </row>
    <row r="21" ht="22" customHeight="1">
      <c r="A21" s="8" t="n"/>
      <c r="B21" s="8" t="n"/>
      <c r="C21" s="8" t="n"/>
      <c r="D21" s="8" t="n"/>
      <c r="E21" s="8" t="n"/>
      <c r="F21" s="8" t="n"/>
      <c r="G21" s="8" t="n"/>
      <c r="H21" s="8" t="n"/>
    </row>
    <row r="22" ht="22" customHeight="1">
      <c r="A22" s="7" t="n"/>
      <c r="B22" s="7" t="n"/>
      <c r="C22" s="7" t="n"/>
      <c r="D22" s="7" t="n"/>
      <c r="E22" s="7" t="n"/>
      <c r="F22" s="7" t="n"/>
      <c r="G22" s="7" t="n"/>
      <c r="H22" s="7" t="n"/>
    </row>
    <row r="23" ht="22" customHeight="1">
      <c r="A23" s="8" t="n"/>
      <c r="B23" s="8" t="n"/>
      <c r="C23" s="8" t="n"/>
      <c r="D23" s="8" t="n"/>
      <c r="E23" s="8" t="n"/>
      <c r="F23" s="8" t="n"/>
      <c r="G23" s="8" t="n"/>
      <c r="H23" s="8" t="n"/>
    </row>
    <row r="24" ht="22" customHeight="1">
      <c r="A24" s="7" t="n"/>
      <c r="B24" s="7" t="n"/>
      <c r="C24" s="7" t="n"/>
      <c r="D24" s="7" t="n"/>
      <c r="E24" s="7" t="n"/>
      <c r="F24" s="7" t="n"/>
      <c r="G24" s="7" t="n"/>
      <c r="H24" s="7" t="n"/>
    </row>
    <row r="25" ht="22" customHeight="1">
      <c r="A25" s="8" t="n"/>
      <c r="B25" s="8" t="n"/>
      <c r="C25" s="8" t="n"/>
      <c r="D25" s="8" t="n"/>
      <c r="E25" s="8" t="n"/>
      <c r="F25" s="8" t="n"/>
      <c r="G25" s="8" t="n"/>
      <c r="H25" s="8" t="n"/>
    </row>
    <row r="26" ht="22" customHeight="1">
      <c r="A26" s="7" t="n"/>
      <c r="B26" s="7" t="n"/>
      <c r="C26" s="7" t="n"/>
      <c r="D26" s="7" t="n"/>
      <c r="E26" s="7" t="n"/>
      <c r="F26" s="7" t="n"/>
      <c r="G26" s="7" t="n"/>
      <c r="H26" s="7" t="n"/>
    </row>
    <row r="27" ht="22" customHeight="1">
      <c r="A27" s="8" t="n"/>
      <c r="B27" s="8" t="n"/>
      <c r="C27" s="8" t="n"/>
      <c r="D27" s="8" t="n"/>
      <c r="E27" s="8" t="n"/>
      <c r="F27" s="8" t="n"/>
      <c r="G27" s="8" t="n"/>
      <c r="H27" s="8" t="n"/>
    </row>
    <row r="28" ht="22" customHeight="1">
      <c r="A28" s="7" t="n"/>
      <c r="B28" s="7" t="n"/>
      <c r="C28" s="7" t="n"/>
      <c r="D28" s="7" t="n"/>
      <c r="E28" s="7" t="n"/>
      <c r="F28" s="7" t="n"/>
      <c r="G28" s="7" t="n"/>
      <c r="H28" s="7" t="n"/>
    </row>
    <row r="29" ht="22" customHeight="1">
      <c r="A29" s="8" t="n"/>
      <c r="B29" s="8" t="n"/>
      <c r="C29" s="8" t="n"/>
      <c r="D29" s="8" t="n"/>
      <c r="E29" s="8" t="n"/>
      <c r="F29" s="8" t="n"/>
      <c r="G29" s="8" t="n"/>
      <c r="H29"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2" customWidth="1" min="1" max="1"/>
    <col width="12" customWidth="1" min="2" max="2"/>
    <col width="14" customWidth="1" min="3" max="3"/>
    <col width="40" customWidth="1" min="4" max="4"/>
    <col width="12" customWidth="1" min="5" max="5"/>
    <col width="20" customWidth="1" min="6" max="6"/>
    <col width="18" customWidth="1" min="7" max="7"/>
    <col width="14" customWidth="1" min="8" max="8"/>
    <col width="36" customWidth="1" min="9" max="9"/>
  </cols>
  <sheetData>
    <row r="1" ht="30" customHeight="1">
      <c r="A1" s="5" t="inlineStr">
        <is>
          <t>Defect ID</t>
        </is>
      </c>
      <c r="B1" s="5" t="inlineStr">
        <is>
          <t>Scenario ID</t>
        </is>
      </c>
      <c r="C1" s="5" t="inlineStr">
        <is>
          <t>Module</t>
        </is>
      </c>
      <c r="D1" s="5" t="inlineStr">
        <is>
          <t>Defect Description</t>
        </is>
      </c>
      <c r="E1" s="5" t="inlineStr">
        <is>
          <t>Severity (1-4)</t>
        </is>
      </c>
      <c r="F1" s="5" t="inlineStr">
        <is>
          <t>Status (Open/In Fix/Fixed/Closed)</t>
        </is>
      </c>
      <c r="G1" s="5" t="inlineStr">
        <is>
          <t>Assigned To</t>
        </is>
      </c>
      <c r="H1" s="5" t="inlineStr">
        <is>
          <t>Target Fix Date</t>
        </is>
      </c>
      <c r="I1" s="5" t="inlineStr">
        <is>
          <t>Resolution Notes</t>
        </is>
      </c>
    </row>
    <row r="2" ht="22" customHeight="1">
      <c r="A2" s="9" t="n"/>
      <c r="B2" s="9" t="n"/>
      <c r="C2" s="9" t="n"/>
      <c r="D2" s="9" t="n"/>
      <c r="E2" s="9" t="n"/>
      <c r="F2" s="9" t="n"/>
      <c r="G2" s="9" t="n"/>
      <c r="H2" s="9" t="n"/>
      <c r="I2" s="9" t="n"/>
    </row>
    <row r="3" ht="22" customHeight="1">
      <c r="A3" s="9" t="n"/>
      <c r="B3" s="9" t="n"/>
      <c r="C3" s="9" t="n"/>
      <c r="D3" s="9" t="n"/>
      <c r="E3" s="9" t="n"/>
      <c r="F3" s="9" t="n"/>
      <c r="G3" s="9" t="n"/>
      <c r="H3" s="9" t="n"/>
      <c r="I3" s="9" t="n"/>
    </row>
    <row r="4" ht="22" customHeight="1">
      <c r="A4" s="9" t="n"/>
      <c r="B4" s="9" t="n"/>
      <c r="C4" s="9" t="n"/>
      <c r="D4" s="9" t="n"/>
      <c r="E4" s="9" t="n"/>
      <c r="F4" s="9" t="n"/>
      <c r="G4" s="9" t="n"/>
      <c r="H4" s="9" t="n"/>
      <c r="I4" s="9" t="n"/>
    </row>
    <row r="5" ht="22" customHeight="1">
      <c r="A5" s="9" t="n"/>
      <c r="B5" s="9" t="n"/>
      <c r="C5" s="9" t="n"/>
      <c r="D5" s="9" t="n"/>
      <c r="E5" s="9" t="n"/>
      <c r="F5" s="9" t="n"/>
      <c r="G5" s="9" t="n"/>
      <c r="H5" s="9" t="n"/>
      <c r="I5" s="9" t="n"/>
    </row>
    <row r="6" ht="22" customHeight="1">
      <c r="A6" s="9" t="n"/>
      <c r="B6" s="9" t="n"/>
      <c r="C6" s="9" t="n"/>
      <c r="D6" s="9" t="n"/>
      <c r="E6" s="9" t="n"/>
      <c r="F6" s="9" t="n"/>
      <c r="G6" s="9" t="n"/>
      <c r="H6" s="9" t="n"/>
      <c r="I6" s="9" t="n"/>
    </row>
    <row r="7" ht="22" customHeight="1">
      <c r="A7" s="9" t="n"/>
      <c r="B7" s="9" t="n"/>
      <c r="C7" s="9" t="n"/>
      <c r="D7" s="9" t="n"/>
      <c r="E7" s="9" t="n"/>
      <c r="F7" s="9" t="n"/>
      <c r="G7" s="9" t="n"/>
      <c r="H7" s="9" t="n"/>
      <c r="I7" s="9" t="n"/>
    </row>
    <row r="8" ht="22" customHeight="1">
      <c r="A8" s="9" t="n"/>
      <c r="B8" s="9" t="n"/>
      <c r="C8" s="9" t="n"/>
      <c r="D8" s="9" t="n"/>
      <c r="E8" s="9" t="n"/>
      <c r="F8" s="9" t="n"/>
      <c r="G8" s="9" t="n"/>
      <c r="H8" s="9" t="n"/>
      <c r="I8" s="9" t="n"/>
    </row>
    <row r="9" ht="22" customHeight="1">
      <c r="A9" s="9" t="n"/>
      <c r="B9" s="9" t="n"/>
      <c r="C9" s="9" t="n"/>
      <c r="D9" s="9" t="n"/>
      <c r="E9" s="9" t="n"/>
      <c r="F9" s="9" t="n"/>
      <c r="G9" s="9" t="n"/>
      <c r="H9" s="9" t="n"/>
      <c r="I9" s="9" t="n"/>
    </row>
    <row r="10" ht="22" customHeight="1">
      <c r="A10" s="9" t="n"/>
      <c r="B10" s="9" t="n"/>
      <c r="C10" s="9" t="n"/>
      <c r="D10" s="9" t="n"/>
      <c r="E10" s="9" t="n"/>
      <c r="F10" s="9" t="n"/>
      <c r="G10" s="9" t="n"/>
      <c r="H10" s="9" t="n"/>
      <c r="I10" s="9" t="n"/>
    </row>
    <row r="11" ht="22" customHeight="1">
      <c r="A11" s="9" t="n"/>
      <c r="B11" s="9" t="n"/>
      <c r="C11" s="9" t="n"/>
      <c r="D11" s="9" t="n"/>
      <c r="E11" s="9" t="n"/>
      <c r="F11" s="9" t="n"/>
      <c r="G11" s="9" t="n"/>
      <c r="H11" s="9" t="n"/>
      <c r="I11" s="9" t="n"/>
    </row>
    <row r="12" ht="22" customHeight="1">
      <c r="A12" s="9" t="n"/>
      <c r="B12" s="9" t="n"/>
      <c r="C12" s="9" t="n"/>
      <c r="D12" s="9" t="n"/>
      <c r="E12" s="9" t="n"/>
      <c r="F12" s="9" t="n"/>
      <c r="G12" s="9" t="n"/>
      <c r="H12" s="9" t="n"/>
      <c r="I12" s="9" t="n"/>
    </row>
    <row r="13" ht="22" customHeight="1">
      <c r="A13" s="9" t="n"/>
      <c r="B13" s="9" t="n"/>
      <c r="C13" s="9" t="n"/>
      <c r="D13" s="9" t="n"/>
      <c r="E13" s="9" t="n"/>
      <c r="F13" s="9" t="n"/>
      <c r="G13" s="9" t="n"/>
      <c r="H13" s="9" t="n"/>
      <c r="I13" s="9" t="n"/>
    </row>
    <row r="14" ht="22" customHeight="1">
      <c r="A14" s="9" t="n"/>
      <c r="B14" s="9" t="n"/>
      <c r="C14" s="9" t="n"/>
      <c r="D14" s="9" t="n"/>
      <c r="E14" s="9" t="n"/>
      <c r="F14" s="9" t="n"/>
      <c r="G14" s="9" t="n"/>
      <c r="H14" s="9" t="n"/>
      <c r="I14" s="9" t="n"/>
    </row>
    <row r="15" ht="22" customHeight="1">
      <c r="A15" s="9" t="n"/>
      <c r="B15" s="9" t="n"/>
      <c r="C15" s="9" t="n"/>
      <c r="D15" s="9" t="n"/>
      <c r="E15" s="9" t="n"/>
      <c r="F15" s="9" t="n"/>
      <c r="G15" s="9" t="n"/>
      <c r="H15" s="9" t="n"/>
      <c r="I15" s="9" t="n"/>
    </row>
    <row r="16" ht="22" customHeight="1">
      <c r="A16" s="9" t="n"/>
      <c r="B16" s="9" t="n"/>
      <c r="C16" s="9" t="n"/>
      <c r="D16" s="9" t="n"/>
      <c r="E16" s="9" t="n"/>
      <c r="F16" s="9" t="n"/>
      <c r="G16" s="9" t="n"/>
      <c r="H16" s="9" t="n"/>
      <c r="I16" s="9" t="n"/>
    </row>
    <row r="17" ht="22" customHeight="1">
      <c r="A17" s="9" t="n"/>
      <c r="B17" s="9" t="n"/>
      <c r="C17" s="9" t="n"/>
      <c r="D17" s="9" t="n"/>
      <c r="E17" s="9" t="n"/>
      <c r="F17" s="9" t="n"/>
      <c r="G17" s="9" t="n"/>
      <c r="H17" s="9" t="n"/>
      <c r="I17" s="9" t="n"/>
    </row>
    <row r="18" ht="22" customHeight="1">
      <c r="A18" s="9" t="n"/>
      <c r="B18" s="9" t="n"/>
      <c r="C18" s="9" t="n"/>
      <c r="D18" s="9" t="n"/>
      <c r="E18" s="9" t="n"/>
      <c r="F18" s="9" t="n"/>
      <c r="G18" s="9" t="n"/>
      <c r="H18" s="9" t="n"/>
      <c r="I18" s="9" t="n"/>
    </row>
    <row r="19" ht="22" customHeight="1">
      <c r="A19" s="9" t="n"/>
      <c r="B19" s="9" t="n"/>
      <c r="C19" s="9" t="n"/>
      <c r="D19" s="9" t="n"/>
      <c r="E19" s="9" t="n"/>
      <c r="F19" s="9" t="n"/>
      <c r="G19" s="9" t="n"/>
      <c r="H19" s="9" t="n"/>
      <c r="I19" s="9" t="n"/>
    </row>
    <row r="20" ht="22" customHeight="1">
      <c r="A20" s="9" t="n"/>
      <c r="B20" s="9" t="n"/>
      <c r="C20" s="9" t="n"/>
      <c r="D20" s="9" t="n"/>
      <c r="E20" s="9" t="n"/>
      <c r="F20" s="9" t="n"/>
      <c r="G20" s="9" t="n"/>
      <c r="H20" s="9" t="n"/>
      <c r="I20" s="9" t="n"/>
    </row>
    <row r="21" ht="22" customHeight="1">
      <c r="A21" s="9" t="n"/>
      <c r="B21" s="9" t="n"/>
      <c r="C21" s="9" t="n"/>
      <c r="D21" s="9" t="n"/>
      <c r="E21" s="9" t="n"/>
      <c r="F21" s="9" t="n"/>
      <c r="G21" s="9" t="n"/>
      <c r="H21" s="9" t="n"/>
      <c r="I21" s="9" t="n"/>
    </row>
    <row r="22" ht="22" customHeight="1">
      <c r="A22" s="9" t="n"/>
      <c r="B22" s="9" t="n"/>
      <c r="C22" s="9" t="n"/>
      <c r="D22" s="9" t="n"/>
      <c r="E22" s="9" t="n"/>
      <c r="F22" s="9" t="n"/>
      <c r="G22" s="9" t="n"/>
      <c r="H22" s="9" t="n"/>
      <c r="I22" s="9" t="n"/>
    </row>
    <row r="23" ht="22" customHeight="1">
      <c r="A23" s="9" t="n"/>
      <c r="B23" s="9" t="n"/>
      <c r="C23" s="9" t="n"/>
      <c r="D23" s="9" t="n"/>
      <c r="E23" s="9" t="n"/>
      <c r="F23" s="9" t="n"/>
      <c r="G23" s="9" t="n"/>
      <c r="H23" s="9" t="n"/>
      <c r="I23" s="9" t="n"/>
    </row>
    <row r="24" ht="22" customHeight="1">
      <c r="A24" s="9" t="n"/>
      <c r="B24" s="9" t="n"/>
      <c r="C24" s="9" t="n"/>
      <c r="D24" s="9" t="n"/>
      <c r="E24" s="9" t="n"/>
      <c r="F24" s="9" t="n"/>
      <c r="G24" s="9" t="n"/>
      <c r="H24" s="9" t="n"/>
      <c r="I24" s="9" t="n"/>
    </row>
    <row r="25" ht="22" customHeight="1">
      <c r="A25" s="9" t="n"/>
      <c r="B25" s="9" t="n"/>
      <c r="C25" s="9" t="n"/>
      <c r="D25" s="9" t="n"/>
      <c r="E25" s="9" t="n"/>
      <c r="F25" s="9" t="n"/>
      <c r="G25" s="9" t="n"/>
      <c r="H25" s="9" t="n"/>
      <c r="I25" s="9" t="n"/>
    </row>
    <row r="26" ht="22" customHeight="1">
      <c r="A26" s="9" t="n"/>
      <c r="B26" s="9" t="n"/>
      <c r="C26" s="9" t="n"/>
      <c r="D26" s="9" t="n"/>
      <c r="E26" s="9" t="n"/>
      <c r="F26" s="9" t="n"/>
      <c r="G26" s="9" t="n"/>
      <c r="H26" s="9" t="n"/>
      <c r="I26" s="9" t="n"/>
    </row>
    <row r="27" ht="22" customHeight="1">
      <c r="A27" s="9" t="n"/>
      <c r="B27" s="9" t="n"/>
      <c r="C27" s="9" t="n"/>
      <c r="D27" s="9" t="n"/>
      <c r="E27" s="9" t="n"/>
      <c r="F27" s="9" t="n"/>
      <c r="G27" s="9" t="n"/>
      <c r="H27" s="9" t="n"/>
      <c r="I27" s="9" t="n"/>
    </row>
    <row r="28" ht="22" customHeight="1">
      <c r="A28" s="9" t="n"/>
      <c r="B28" s="9" t="n"/>
      <c r="C28" s="9" t="n"/>
      <c r="D28" s="9" t="n"/>
      <c r="E28" s="9" t="n"/>
      <c r="F28" s="9" t="n"/>
      <c r="G28" s="9" t="n"/>
      <c r="H28" s="9" t="n"/>
      <c r="I28" s="9" t="n"/>
    </row>
    <row r="29" ht="22" customHeight="1">
      <c r="A29" s="9" t="n"/>
      <c r="B29" s="9" t="n"/>
      <c r="C29" s="9" t="n"/>
      <c r="D29" s="9" t="n"/>
      <c r="E29" s="9" t="n"/>
      <c r="F29" s="9" t="n"/>
      <c r="G29" s="9" t="n"/>
      <c r="H29" s="9" t="n"/>
      <c r="I29" s="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20" customWidth="1" min="2" max="2"/>
    <col width="20" customWidth="1" min="3" max="3"/>
  </cols>
  <sheetData>
    <row r="1" ht="35" customHeight="1">
      <c r="A1" s="1" t="inlineStr">
        <is>
          <t>UAT SUMMARY DASHBOARD</t>
        </is>
      </c>
    </row>
    <row r="2">
      <c r="A2" s="10" t="inlineStr">
        <is>
          <t>Engagement</t>
        </is>
      </c>
      <c r="B2" s="4" t="inlineStr">
        <is>
          <t>[Customer Name]</t>
        </is>
      </c>
      <c r="C2" s="11" t="inlineStr"/>
    </row>
    <row r="3">
      <c r="A3" s="10" t="inlineStr">
        <is>
          <t>Sprint / Module Under Test</t>
        </is>
      </c>
      <c r="B3" s="4" t="inlineStr">
        <is>
          <t>[Sprint X — Module Name]</t>
        </is>
      </c>
      <c r="C3" s="11" t="inlineStr"/>
    </row>
    <row r="4">
      <c r="A4" s="10" t="inlineStr">
        <is>
          <t>UAT Cycle</t>
        </is>
      </c>
      <c r="B4" s="4" t="inlineStr">
        <is>
          <t>Cycle 1 / 2 / 3</t>
        </is>
      </c>
      <c r="C4" s="11" t="inlineStr"/>
    </row>
    <row r="5">
      <c r="A5" s="10" t="inlineStr">
        <is>
          <t>UAT Lead</t>
        </is>
      </c>
      <c r="B5" s="4" t="inlineStr">
        <is>
          <t>[Name]</t>
        </is>
      </c>
      <c r="C5" s="11" t="inlineStr"/>
    </row>
    <row r="6">
      <c r="A6" s="4" t="inlineStr"/>
      <c r="B6" s="4" t="inlineStr"/>
      <c r="C6" s="11" t="inlineStr"/>
    </row>
    <row r="7">
      <c r="A7" s="12" t="inlineStr">
        <is>
          <t>METRIC</t>
        </is>
      </c>
      <c r="B7" s="12" t="inlineStr">
        <is>
          <t>VALUE</t>
        </is>
      </c>
      <c r="C7" s="12" t="inlineStr">
        <is>
          <t>STATUS</t>
        </is>
      </c>
    </row>
    <row r="8">
      <c r="A8" s="10" t="inlineStr">
        <is>
          <t>Total Scenarios</t>
        </is>
      </c>
      <c r="B8" s="4">
        <f>COUNTA('Execution Log'!A2:A200)-COUNTA(IF('Execution Log'!A2:A200="",1,0))</f>
        <v/>
      </c>
      <c r="C8" s="11" t="inlineStr"/>
    </row>
    <row r="9">
      <c r="A9" s="10" t="inlineStr">
        <is>
          <t>PASS</t>
        </is>
      </c>
      <c r="B9" s="4">
        <f>COUNTIF('Execution Log'!F2:F200,"PASS")</f>
        <v/>
      </c>
      <c r="C9" s="11" t="inlineStr"/>
    </row>
    <row r="10">
      <c r="A10" s="10" t="inlineStr">
        <is>
          <t>FAIL</t>
        </is>
      </c>
      <c r="B10" s="4">
        <f>COUNTIF('Execution Log'!F2:F200,"FAIL")</f>
        <v/>
      </c>
      <c r="C10" s="11" t="inlineStr"/>
    </row>
    <row r="11">
      <c r="A11" s="10" t="inlineStr">
        <is>
          <t>BLOCKED</t>
        </is>
      </c>
      <c r="B11" s="4">
        <f>COUNTIF('Execution Log'!F2:F200,"BLOCKED")</f>
        <v/>
      </c>
      <c r="C11" s="11" t="inlineStr"/>
    </row>
    <row r="12">
      <c r="A12" s="10" t="inlineStr">
        <is>
          <t>Pass Rate %</t>
        </is>
      </c>
      <c r="B12" s="4" t="inlineStr"/>
      <c r="C12" s="11" t="inlineStr"/>
    </row>
    <row r="13">
      <c r="A13" s="10" t="inlineStr">
        <is>
          <t>Open Sev 1 Defects</t>
        </is>
      </c>
      <c r="B13" s="4">
        <f>COUNTIFS('Defect Log'!E2:E200,"1",'Defect Log'!F2:F200,"Open")</f>
        <v/>
      </c>
      <c r="C13" s="11" t="inlineStr"/>
    </row>
    <row r="14">
      <c r="A14" s="10" t="inlineStr">
        <is>
          <t>Open Sev 2 Defects</t>
        </is>
      </c>
      <c r="B14" s="4">
        <f>COUNTIFS('Defect Log'!E2:E200,"2",'Defect Log'!F2:F200,"Open")</f>
        <v/>
      </c>
      <c r="C14" s="11" t="inlineStr"/>
    </row>
    <row r="15">
      <c r="A15" s="4" t="inlineStr"/>
      <c r="B15" s="4" t="inlineStr"/>
      <c r="C15" s="11" t="inlineStr"/>
    </row>
    <row r="16">
      <c r="A16" s="10" t="inlineStr">
        <is>
          <t>GO / NO-GO</t>
        </is>
      </c>
      <c r="B16" s="4" t="inlineStr">
        <is>
          <t>[EM enters decision]</t>
        </is>
      </c>
      <c r="C16" s="11" t="inlineStr"/>
    </row>
    <row r="17">
      <c r="A17" s="10" t="inlineStr">
        <is>
          <t>EM Sign-Off</t>
        </is>
      </c>
      <c r="B17" s="4" t="inlineStr"/>
      <c r="C17" s="11" t="inlineStr"/>
    </row>
    <row r="18">
      <c r="A18" s="10" t="inlineStr">
        <is>
          <t>Date</t>
        </is>
      </c>
      <c r="B18" s="4" t="inlineStr"/>
      <c r="C18" s="11"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2026-05-12T06:09:50Z</dcterms:created>
  <dcterms:modified xmlns:dcterms="http://purl.org/dc/terms/" xmlns:xsi="http://www.w3.org/2001/XMLSchema-instance" xsi:type="dcterms:W3CDTF">2026-05-12T06:09:50Z</dcterms:modified>
</cp:coreProperties>
</file>