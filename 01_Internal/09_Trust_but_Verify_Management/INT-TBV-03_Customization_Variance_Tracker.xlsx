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timhi\Documents\GitHub\everforth-ecs-practice\01_Internal\09_Trust_but_Verify_Management\"/>
    </mc:Choice>
  </mc:AlternateContent>
  <xr:revisionPtr revIDLastSave="0" documentId="13_ncr:1_{FBE99A74-3D44-4E28-9F8A-6BAA4DC79297}" xr6:coauthVersionLast="47" xr6:coauthVersionMax="47" xr10:uidLastSave="{00000000-0000-0000-0000-000000000000}"/>
  <bookViews>
    <workbookView xWindow="3000" yWindow="3000" windowWidth="17280" windowHeight="9960" xr2:uid="{00000000-000D-0000-FFFF-FFFF00000000}"/>
  </bookViews>
  <sheets>
    <sheet name="Instructions" sheetId="1" r:id="rId1"/>
    <sheet name="Variance Log" sheetId="2" r:id="rId2"/>
    <sheet name="Decision Log" sheetId="3" r:id="rId3"/>
    <sheet name="Sprint Capacity Reference"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4" i="4" l="1"/>
  <c r="B24" i="4"/>
  <c r="D23" i="4"/>
  <c r="B23" i="4"/>
  <c r="D22" i="4"/>
  <c r="B22" i="4"/>
  <c r="D21" i="4"/>
  <c r="B21" i="4"/>
  <c r="D20" i="4"/>
  <c r="B20" i="4"/>
  <c r="D19" i="4"/>
  <c r="B19" i="4"/>
  <c r="C15" i="4"/>
  <c r="B15" i="4"/>
  <c r="C14" i="4"/>
  <c r="B14" i="4"/>
  <c r="C13" i="4"/>
  <c r="B13" i="4"/>
  <c r="C12" i="4"/>
  <c r="B12" i="4"/>
  <c r="C11" i="4"/>
  <c r="B11" i="4"/>
</calcChain>
</file>

<file path=xl/sharedStrings.xml><?xml version="1.0" encoding="utf-8"?>
<sst xmlns="http://schemas.openxmlformats.org/spreadsheetml/2006/main" count="167" uniqueCount="134">
  <si>
    <t>INT-TBV-03 · Customization Variance Tracker</t>
  </si>
  <si>
    <t>ECS Federal · ServiceNow Practice · Internal Use Only</t>
  </si>
  <si>
    <t>Purpose</t>
  </si>
  <si>
    <t>System of record for every customization request raised during the engagement. Tracks each request from initial raise through Council decision and build disposition. Feeds the Customization Variance vector in the Engagement Health Dashboard (INT-TBV-02).</t>
  </si>
  <si>
    <t>Who maintains this</t>
  </si>
  <si>
    <t>Engagement Manager (primary). Solution Architect updates the OOTB Alternative Analysis column. Practice Lead reviews monthly in the cross-engagement roll-up.</t>
  </si>
  <si>
    <t>Update cadence</t>
  </si>
  <si>
    <t>Real-time as requests are raised. Reviewed every Friday during the weekly variance scan. Summarized at bi-weekly Sponsor Sync (INT-TBV-04) and monthly Practice Review (INT-TBV-07).</t>
  </si>
  <si>
    <t>Key rule</t>
  </si>
  <si>
    <t>Every customization that is council-approved and built adds to variance. Requests rejected by the Council do NOT add to variance. Customizations discovered post-build (unannounced) add to variance AND trigger the Red band.</t>
  </si>
  <si>
    <t>Related artifacts</t>
  </si>
  <si>
    <t>INT-TBV-01 (Manager Playbook) · INT-TBV-02 (Health Dashboard) · INT-TBV-04 (Sponsor Sync) · INT-TBV-05 (Council Pre-Read) · INT-TBV-08 (Course-Correction Playbook)</t>
  </si>
  <si>
    <t>Deviation Lifecycle Stages</t>
  </si>
  <si>
    <t>Stage</t>
  </si>
  <si>
    <t>Description</t>
  </si>
  <si>
    <t>Who Advances</t>
  </si>
  <si>
    <t>1 – Raise</t>
  </si>
  <si>
    <t>Customer or consultant identifies a need that appears non-OOTB. Logged in Variance Log immediately.</t>
  </si>
  <si>
    <t>Consultant / EM</t>
  </si>
  <si>
    <t>2 – Analyze</t>
  </si>
  <si>
    <t>Solution Architect documents OOTB Alternative Analysis. Business outcome alignment assessed.</t>
  </si>
  <si>
    <t>Solution Architect</t>
  </si>
  <si>
    <t>3 – Classify</t>
  </si>
  <si>
    <t>EM classifies: configuration (within OOTB), customization (code/custom table), or PCR.</t>
  </si>
  <si>
    <t>Engagement Manager</t>
  </si>
  <si>
    <t>4 – Recommend</t>
  </si>
  <si>
    <t>SA prepares Council Pre-Read (INT-TBV-05). EM circulates 48 hrs before Council.</t>
  </si>
  <si>
    <t>SA + EM</t>
  </si>
  <si>
    <t>5 – Decide</t>
  </si>
  <si>
    <t>Customization Council issues one of four decisions: approve-sprint, approve-backlog, reject, PCR.</t>
  </si>
  <si>
    <t>Practice Lead + Sponsor</t>
  </si>
  <si>
    <t>6 – Disposition</t>
  </si>
  <si>
    <t>Decision executed: backlog item added, Council rejection documented, PCR drafted, or build planned.</t>
  </si>
  <si>
    <t>EM / Architect</t>
  </si>
  <si>
    <t>Customization Variance Log — One Row Per Request</t>
  </si>
  <si>
    <t>Add a row each time a customization request is raised. Yellow cells = customer input / Council decision</t>
  </si>
  <si>
    <t>Req ID</t>
  </si>
  <si>
    <t>Sprint
Raised</t>
  </si>
  <si>
    <t>Requester</t>
  </si>
  <si>
    <t>Description of Request</t>
  </si>
  <si>
    <t>OOTB Alternative
(SA Analysis)</t>
  </si>
  <si>
    <t>Classification
(Config/Custom/PCR)</t>
  </si>
  <si>
    <t>Council
Decision</t>
  </si>
  <si>
    <t>Decision
Date</t>
  </si>
  <si>
    <t>Sprint
Built</t>
  </si>
  <si>
    <t>Est. Effort
(hrs)</t>
  </si>
  <si>
    <t>Actual
Effort (hrs)</t>
  </si>
  <si>
    <t>Post-GoLive
Owner</t>
  </si>
  <si>
    <t>CVT-001</t>
  </si>
  <si>
    <t>CVT-002</t>
  </si>
  <si>
    <t>CVT-003</t>
  </si>
  <si>
    <t>CVT-004</t>
  </si>
  <si>
    <t>CVT-005</t>
  </si>
  <si>
    <t>CVT-006</t>
  </si>
  <si>
    <t>CVT-007</t>
  </si>
  <si>
    <t>CVT-008</t>
  </si>
  <si>
    <t>CVT-009</t>
  </si>
  <si>
    <t>CVT-010</t>
  </si>
  <si>
    <t>CVT-011</t>
  </si>
  <si>
    <t>CVT-012</t>
  </si>
  <si>
    <t>CVT-013</t>
  </si>
  <si>
    <t>CVT-014</t>
  </si>
  <si>
    <t>CVT-015</t>
  </si>
  <si>
    <t>Valid Classification Values</t>
  </si>
  <si>
    <t>Configuration</t>
  </si>
  <si>
    <t>Within OOTB — a setting, not a code change. Does NOT add to variance.</t>
  </si>
  <si>
    <t>Customization</t>
  </si>
  <si>
    <t>Code change or custom table. Council decision required. ADDS to variance if approved.</t>
  </si>
  <si>
    <t>PCR</t>
  </si>
  <si>
    <t>Scope change exceeding SOW. Pause sprint — PCR drafted before any commitment.</t>
  </si>
  <si>
    <t>Council Decision Log — Closed Requests</t>
  </si>
  <si>
    <t>One row per request that has received a final Council decision. Reference for pattern-spotting.</t>
  </si>
  <si>
    <t>Sprint</t>
  </si>
  <si>
    <t>Decision</t>
  </si>
  <si>
    <t>Decision Date</t>
  </si>
  <si>
    <t>Rationale</t>
  </si>
  <si>
    <t>Deviation Approved?</t>
  </si>
  <si>
    <t>Effort Added (hrs)</t>
  </si>
  <si>
    <t>Notes</t>
  </si>
  <si>
    <t>No</t>
  </si>
  <si>
    <t>Decision Options Reference</t>
  </si>
  <si>
    <t>Meaning</t>
  </si>
  <si>
    <t>Variance Impact</t>
  </si>
  <si>
    <t>Next Action</t>
  </si>
  <si>
    <t>Approve – Sprint</t>
  </si>
  <si>
    <t>Build in current or next sprint</t>
  </si>
  <si>
    <t>Adds effort to variance</t>
  </si>
  <si>
    <t>Add to sprint backlog · update Variance Log</t>
  </si>
  <si>
    <t>Approve – Backlog</t>
  </si>
  <si>
    <t>Defer to post-go-live</t>
  </si>
  <si>
    <t>No current variance impact · tracked separately</t>
  </si>
  <si>
    <t>Add to product backlog · inform sponsor</t>
  </si>
  <si>
    <t>Reject</t>
  </si>
  <si>
    <t>OOTB alternative sufficient</t>
  </si>
  <si>
    <t>No variance impact</t>
  </si>
  <si>
    <t>Document rationale · close ticket</t>
  </si>
  <si>
    <t>PCR Required</t>
  </si>
  <si>
    <t>Scope exceeds SOW</t>
  </si>
  <si>
    <t>Pause build · commercial discussion</t>
  </si>
  <si>
    <t>Draft PCR · Practice Lead + Sales lead discussion</t>
  </si>
  <si>
    <t>Sprint Capacity Reference — Variance Band Calculator</t>
  </si>
  <si>
    <t>Enter team size and daily hours to auto-calculate sprint capacity and band thresholds</t>
  </si>
  <si>
    <t>Inputs — Update these values for your engagement</t>
  </si>
  <si>
    <t>Consultants on engagement (FTE)</t>
  </si>
  <si>
    <t>Billable hours per consultant per day</t>
  </si>
  <si>
    <t>Working days per sprint (2 weeks)</t>
  </si>
  <si>
    <t>Calculated Thresholds (auto-updates when inputs change)</t>
  </si>
  <si>
    <t>Metric</t>
  </si>
  <si>
    <t>Formula</t>
  </si>
  <si>
    <t>Value</t>
  </si>
  <si>
    <t>Sprint Capacity (hrs)</t>
  </si>
  <si>
    <t>Total available consultant hours per sprint</t>
  </si>
  <si>
    <t>Green ceiling (5%)</t>
  </si>
  <si>
    <t>Max approved custom effort before Yellow</t>
  </si>
  <si>
    <t>Yellow ceiling (10%)</t>
  </si>
  <si>
    <t>Max before Orange band</t>
  </si>
  <si>
    <t>Orange ceiling (15%)</t>
  </si>
  <si>
    <t>Max before Red band</t>
  </si>
  <si>
    <t>18-week total capacity (9 sprints)</t>
  </si>
  <si>
    <t>Full engagement capacity for context</t>
  </si>
  <si>
    <t>Per-Sprint Variance Tracker — Paste cumulative approved effort from Variance Log</t>
  </si>
  <si>
    <t>Capacity (hrs)</t>
  </si>
  <si>
    <t>Cumulative Approved
Custom Effort (hrs)</t>
  </si>
  <si>
    <t>Variance %</t>
  </si>
  <si>
    <t>Band</t>
  </si>
  <si>
    <t>EM Action</t>
  </si>
  <si>
    <t>Sprint 1</t>
  </si>
  <si>
    <t>Green</t>
  </si>
  <si>
    <t>Continue weekly scan</t>
  </si>
  <si>
    <t>Sprint 2</t>
  </si>
  <si>
    <t>Sprint 3</t>
  </si>
  <si>
    <t>Sprint 4</t>
  </si>
  <si>
    <t>Sprint 5</t>
  </si>
  <si>
    <t>Sprint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</si>
</sst>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3"/>
      <color rgb="FFFFFFFF"/>
      <name val="Arial"/>
    </font>
    <font>
      <sz val="9"/>
      <color rgb="FFFFFFFF"/>
      <name val="Arial"/>
    </font>
    <font>
      <b/>
      <sz val="10"/>
      <color rgb="FF0B1F3A"/>
      <name val="Arial"/>
    </font>
    <font>
      <sz val="10"/>
      <color rgb="FF1E293B"/>
      <name val="Arial"/>
    </font>
    <font>
      <b/>
      <sz val="10"/>
      <color rgb="FFFFFFFF"/>
      <name val="Arial"/>
    </font>
    <font>
      <sz val="10"/>
      <color rgb="FF92400E"/>
      <name val="Arial"/>
    </font>
    <font>
      <b/>
      <sz val="10"/>
      <color rgb="FF065F46"/>
      <name val="Arial"/>
    </font>
    <font>
      <b/>
      <sz val="10"/>
      <color rgb="FF713F12"/>
      <name val="Arial"/>
    </font>
    <font>
      <b/>
      <sz val="10"/>
      <color rgb="FF991B1B"/>
      <name val="Arial"/>
    </font>
    <font>
      <sz val="10"/>
      <color rgb="FF065F46"/>
      <name val="Arial"/>
    </font>
    <font>
      <b/>
      <sz val="10"/>
      <color rgb="FF92400E"/>
      <name val="Arial"/>
    </font>
    <font>
      <b/>
      <sz val="10"/>
      <color rgb="FF1E293B"/>
      <name val="Arial"/>
    </font>
  </fonts>
  <fills count="9">
    <fill>
      <patternFill patternType="none"/>
    </fill>
    <fill>
      <patternFill patternType="gray125"/>
    </fill>
    <fill>
      <patternFill patternType="solid">
        <fgColor rgb="FF0B1F3A"/>
        <bgColor rgb="FF0B1F3A"/>
      </patternFill>
    </fill>
    <fill>
      <patternFill patternType="solid">
        <fgColor rgb="FFECFEFF"/>
        <bgColor rgb="FFECFEFF"/>
      </patternFill>
    </fill>
    <fill>
      <patternFill patternType="solid">
        <fgColor rgb="FFFEF3C7"/>
        <bgColor rgb="FFFEF3C7"/>
      </patternFill>
    </fill>
    <fill>
      <patternFill patternType="solid">
        <fgColor rgb="FFF1F5F9"/>
        <bgColor rgb="FFF1F5F9"/>
      </patternFill>
    </fill>
    <fill>
      <patternFill patternType="solid">
        <fgColor rgb="FFD1FAE5"/>
        <bgColor rgb="FFD1FAE5"/>
      </patternFill>
    </fill>
    <fill>
      <patternFill patternType="solid">
        <fgColor rgb="FFFEF9C3"/>
        <bgColor rgb="FFFEF9C3"/>
      </patternFill>
    </fill>
    <fill>
      <patternFill patternType="solid">
        <fgColor rgb="FFFEE2E2"/>
        <bgColor rgb="FFFEE2E2"/>
      </patternFill>
    </fill>
  </fills>
  <borders count="2">
    <border>
      <left/>
      <right/>
      <top/>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27">
    <xf numFmtId="0" fontId="0" fillId="0" borderId="0" xfId="0"/>
    <xf numFmtId="0" fontId="3" fillId="0" borderId="0" xfId="0" applyFont="1"/>
    <xf numFmtId="0" fontId="4" fillId="0" borderId="0" xfId="0" applyFont="1" applyAlignment="1">
      <alignment horizontal="left" vertical="top" wrapText="1"/>
    </xf>
    <xf numFmtId="0" fontId="5" fillId="2" borderId="1" xfId="0" applyFont="1" applyFill="1" applyBorder="1"/>
    <xf numFmtId="0" fontId="3" fillId="0" borderId="1" xfId="0" applyFont="1" applyBorder="1"/>
    <xf numFmtId="0" fontId="4" fillId="0" borderId="1" xfId="0" applyFont="1" applyBorder="1" applyAlignment="1">
      <alignment vertical="top" wrapText="1"/>
    </xf>
    <xf numFmtId="0" fontId="4" fillId="0" borderId="1" xfId="0" applyFont="1" applyBorder="1"/>
    <xf numFmtId="0" fontId="5" fillId="2" borderId="1" xfId="0" applyFont="1" applyFill="1" applyBorder="1" applyAlignment="1">
      <alignment horizontal="center" vertical="center" wrapText="1"/>
    </xf>
    <xf numFmtId="0" fontId="4" fillId="0" borderId="1" xfId="0" applyFont="1" applyBorder="1" applyAlignment="1">
      <alignment horizontal="left" vertical="top" wrapText="1"/>
    </xf>
    <xf numFmtId="0" fontId="6" fillId="4" borderId="1" xfId="0" applyFont="1" applyFill="1" applyBorder="1" applyAlignment="1">
      <alignment horizontal="left" vertical="top" wrapText="1"/>
    </xf>
    <xf numFmtId="0" fontId="4" fillId="0" borderId="1" xfId="0" applyFont="1" applyBorder="1" applyAlignment="1">
      <alignment horizontal="center" vertical="top" wrapText="1"/>
    </xf>
    <xf numFmtId="0" fontId="4" fillId="5" borderId="1" xfId="0" applyFont="1" applyFill="1" applyBorder="1" applyAlignment="1">
      <alignment horizontal="left" vertical="top" wrapText="1"/>
    </xf>
    <xf numFmtId="0" fontId="4" fillId="5" borderId="1" xfId="0" applyFont="1" applyFill="1" applyBorder="1" applyAlignment="1">
      <alignment horizontal="center" vertical="top" wrapText="1"/>
    </xf>
    <xf numFmtId="0" fontId="7" fillId="6" borderId="1" xfId="0" applyFont="1" applyFill="1" applyBorder="1"/>
    <xf numFmtId="0" fontId="4" fillId="0" borderId="1" xfId="0" applyFont="1" applyBorder="1" applyAlignment="1">
      <alignment wrapText="1"/>
    </xf>
    <xf numFmtId="0" fontId="8" fillId="7" borderId="1" xfId="0" applyFont="1" applyFill="1" applyBorder="1"/>
    <xf numFmtId="0" fontId="9" fillId="8" borderId="1" xfId="0" applyFont="1" applyFill="1" applyBorder="1"/>
    <xf numFmtId="0" fontId="10" fillId="6" borderId="1" xfId="0" applyFont="1" applyFill="1" applyBorder="1" applyAlignment="1">
      <alignment horizontal="center" vertical="top" wrapText="1"/>
    </xf>
    <xf numFmtId="0" fontId="3" fillId="3" borderId="1" xfId="0" applyFont="1" applyFill="1" applyBorder="1" applyAlignment="1">
      <alignment horizontal="left" vertical="top" wrapText="1"/>
    </xf>
    <xf numFmtId="0" fontId="11" fillId="4" borderId="1" xfId="0" applyFont="1" applyFill="1" applyBorder="1" applyAlignment="1">
      <alignment horizontal="center"/>
    </xf>
    <xf numFmtId="0" fontId="7" fillId="6" borderId="1" xfId="0" applyFont="1" applyFill="1" applyBorder="1" applyAlignment="1">
      <alignment horizontal="center"/>
    </xf>
    <xf numFmtId="0" fontId="12" fillId="0" borderId="1" xfId="0" applyFont="1" applyBorder="1" applyAlignment="1">
      <alignment horizontal="left" vertical="top" wrapText="1"/>
    </xf>
    <xf numFmtId="0" fontId="6" fillId="4" borderId="1" xfId="0" applyFont="1" applyFill="1" applyBorder="1" applyAlignment="1">
      <alignment horizontal="center" vertical="top" wrapText="1"/>
    </xf>
    <xf numFmtId="0" fontId="1" fillId="2" borderId="0" xfId="0" applyFont="1" applyFill="1" applyAlignment="1">
      <alignment horizontal="left" vertical="center" wrapText="1"/>
    </xf>
    <xf numFmtId="0" fontId="0" fillId="0" borderId="0" xfId="0"/>
    <xf numFmtId="0" fontId="2" fillId="2" borderId="0" xfId="0" applyFont="1" applyFill="1" applyAlignment="1">
      <alignment horizontal="left" vertical="center" wrapText="1"/>
    </xf>
    <xf numFmtId="0" fontId="3" fillId="3" borderId="0" xfId="0" applyFont="1" applyFill="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
  <sheetViews>
    <sheetView tabSelected="1" workbookViewId="0">
      <selection sqref="A1:C1"/>
    </sheetView>
  </sheetViews>
  <sheetFormatPr defaultRowHeight="14.4" x14ac:dyDescent="0.3"/>
  <cols>
    <col min="1" max="1" width="24" customWidth="1"/>
    <col min="2" max="2" width="88" customWidth="1"/>
    <col min="3" max="3" width="22" customWidth="1"/>
  </cols>
  <sheetData>
    <row r="1" spans="1:3" ht="25.95" customHeight="1" x14ac:dyDescent="0.3">
      <c r="A1" s="23" t="s">
        <v>0</v>
      </c>
      <c r="B1" s="24"/>
      <c r="C1" s="24"/>
    </row>
    <row r="2" spans="1:3" ht="18" customHeight="1" x14ac:dyDescent="0.3">
      <c r="A2" s="25" t="s">
        <v>1</v>
      </c>
      <c r="B2" s="24"/>
      <c r="C2" s="24"/>
    </row>
    <row r="3" spans="1:3" ht="7.95" customHeight="1" x14ac:dyDescent="0.3"/>
    <row r="4" spans="1:3" ht="39.6" x14ac:dyDescent="0.3">
      <c r="A4" s="1" t="s">
        <v>2</v>
      </c>
      <c r="B4" s="2" t="s">
        <v>3</v>
      </c>
    </row>
    <row r="5" spans="1:3" ht="25.95" customHeight="1" x14ac:dyDescent="0.3">
      <c r="A5" s="1" t="s">
        <v>4</v>
      </c>
      <c r="B5" s="2" t="s">
        <v>5</v>
      </c>
    </row>
    <row r="6" spans="1:3" ht="31.05" customHeight="1" x14ac:dyDescent="0.3">
      <c r="A6" s="1" t="s">
        <v>6</v>
      </c>
      <c r="B6" s="2" t="s">
        <v>7</v>
      </c>
    </row>
    <row r="7" spans="1:3" ht="31.05" customHeight="1" x14ac:dyDescent="0.3">
      <c r="A7" s="1" t="s">
        <v>8</v>
      </c>
      <c r="B7" s="2" t="s">
        <v>9</v>
      </c>
    </row>
    <row r="8" spans="1:3" ht="25.95" customHeight="1" x14ac:dyDescent="0.3">
      <c r="A8" s="1" t="s">
        <v>10</v>
      </c>
      <c r="B8" s="2" t="s">
        <v>11</v>
      </c>
    </row>
    <row r="10" spans="1:3" ht="19.95" customHeight="1" x14ac:dyDescent="0.3">
      <c r="A10" s="26" t="s">
        <v>12</v>
      </c>
      <c r="B10" s="24"/>
      <c r="C10" s="24"/>
    </row>
    <row r="11" spans="1:3" ht="22.05" customHeight="1" x14ac:dyDescent="0.3">
      <c r="A11" s="3" t="s">
        <v>13</v>
      </c>
      <c r="B11" s="3" t="s">
        <v>14</v>
      </c>
      <c r="C11" s="3" t="s">
        <v>15</v>
      </c>
    </row>
    <row r="12" spans="1:3" ht="24" customHeight="1" x14ac:dyDescent="0.3">
      <c r="A12" s="4" t="s">
        <v>16</v>
      </c>
      <c r="B12" s="5" t="s">
        <v>17</v>
      </c>
      <c r="C12" s="6" t="s">
        <v>18</v>
      </c>
    </row>
    <row r="13" spans="1:3" ht="24" customHeight="1" x14ac:dyDescent="0.3">
      <c r="A13" s="4" t="s">
        <v>19</v>
      </c>
      <c r="B13" s="5" t="s">
        <v>20</v>
      </c>
      <c r="C13" s="6" t="s">
        <v>21</v>
      </c>
    </row>
    <row r="14" spans="1:3" ht="24" customHeight="1" x14ac:dyDescent="0.3">
      <c r="A14" s="4" t="s">
        <v>22</v>
      </c>
      <c r="B14" s="5" t="s">
        <v>23</v>
      </c>
      <c r="C14" s="6" t="s">
        <v>24</v>
      </c>
    </row>
    <row r="15" spans="1:3" ht="24" customHeight="1" x14ac:dyDescent="0.3">
      <c r="A15" s="4" t="s">
        <v>25</v>
      </c>
      <c r="B15" s="5" t="s">
        <v>26</v>
      </c>
      <c r="C15" s="6" t="s">
        <v>27</v>
      </c>
    </row>
    <row r="16" spans="1:3" ht="24" customHeight="1" x14ac:dyDescent="0.3">
      <c r="A16" s="4" t="s">
        <v>28</v>
      </c>
      <c r="B16" s="5" t="s">
        <v>29</v>
      </c>
      <c r="C16" s="6" t="s">
        <v>30</v>
      </c>
    </row>
    <row r="17" spans="1:3" ht="24" customHeight="1" x14ac:dyDescent="0.3">
      <c r="A17" s="4" t="s">
        <v>31</v>
      </c>
      <c r="B17" s="5" t="s">
        <v>32</v>
      </c>
      <c r="C17" s="6" t="s">
        <v>33</v>
      </c>
    </row>
  </sheetData>
  <mergeCells count="3">
    <mergeCell ref="A1:C1"/>
    <mergeCell ref="A2:C2"/>
    <mergeCell ref="A10:C1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4"/>
  <sheetViews>
    <sheetView workbookViewId="0">
      <pane ySplit="4" topLeftCell="A5" activePane="bottomLeft" state="frozen"/>
      <selection pane="bottomLeft"/>
    </sheetView>
  </sheetViews>
  <sheetFormatPr defaultRowHeight="14.4" x14ac:dyDescent="0.3"/>
  <cols>
    <col min="1" max="1" width="9" customWidth="1"/>
    <col min="2" max="2" width="8" customWidth="1"/>
    <col min="3" max="3" width="14" customWidth="1"/>
    <col min="4" max="5" width="38" customWidth="1"/>
    <col min="6" max="7" width="16" customWidth="1"/>
    <col min="8" max="8" width="12" customWidth="1"/>
    <col min="9" max="10" width="10" customWidth="1"/>
    <col min="11" max="11" width="12" customWidth="1"/>
    <col min="12" max="12" width="18" customWidth="1"/>
  </cols>
  <sheetData>
    <row r="1" spans="1:12" ht="25.95" customHeight="1" x14ac:dyDescent="0.3">
      <c r="A1" s="23" t="s">
        <v>34</v>
      </c>
      <c r="B1" s="24"/>
      <c r="C1" s="24"/>
      <c r="D1" s="24"/>
      <c r="E1" s="24"/>
      <c r="F1" s="24"/>
      <c r="G1" s="24"/>
      <c r="H1" s="24"/>
      <c r="I1" s="24"/>
      <c r="J1" s="24"/>
      <c r="K1" s="24"/>
      <c r="L1" s="24"/>
    </row>
    <row r="2" spans="1:12" ht="18" customHeight="1" x14ac:dyDescent="0.3">
      <c r="A2" s="25" t="s">
        <v>35</v>
      </c>
      <c r="B2" s="24"/>
      <c r="C2" s="24"/>
      <c r="D2" s="24"/>
      <c r="E2" s="24"/>
      <c r="F2" s="24"/>
      <c r="G2" s="24"/>
      <c r="H2" s="24"/>
      <c r="I2" s="24"/>
      <c r="J2" s="24"/>
      <c r="K2" s="24"/>
      <c r="L2" s="24"/>
    </row>
    <row r="3" spans="1:12" ht="7.95" customHeight="1" x14ac:dyDescent="0.3"/>
    <row r="4" spans="1:12" ht="24" customHeight="1" x14ac:dyDescent="0.3">
      <c r="A4" s="7" t="s">
        <v>36</v>
      </c>
      <c r="B4" s="7" t="s">
        <v>37</v>
      </c>
      <c r="C4" s="7" t="s">
        <v>38</v>
      </c>
      <c r="D4" s="7" t="s">
        <v>39</v>
      </c>
      <c r="E4" s="7" t="s">
        <v>40</v>
      </c>
      <c r="F4" s="7" t="s">
        <v>41</v>
      </c>
      <c r="G4" s="7" t="s">
        <v>42</v>
      </c>
      <c r="H4" s="7" t="s">
        <v>43</v>
      </c>
      <c r="I4" s="7" t="s">
        <v>44</v>
      </c>
      <c r="J4" s="7" t="s">
        <v>45</v>
      </c>
      <c r="K4" s="7" t="s">
        <v>46</v>
      </c>
      <c r="L4" s="7" t="s">
        <v>47</v>
      </c>
    </row>
    <row r="5" spans="1:12" ht="28.05" customHeight="1" x14ac:dyDescent="0.3">
      <c r="A5" s="8" t="s">
        <v>48</v>
      </c>
      <c r="B5" s="8"/>
      <c r="C5" s="8"/>
      <c r="D5" s="8"/>
      <c r="E5" s="8"/>
      <c r="F5" s="9"/>
      <c r="G5" s="9"/>
      <c r="H5" s="8"/>
      <c r="I5" s="8"/>
      <c r="J5" s="10">
        <v>0</v>
      </c>
      <c r="K5" s="10">
        <v>0</v>
      </c>
      <c r="L5" s="8"/>
    </row>
    <row r="6" spans="1:12" ht="28.05" customHeight="1" x14ac:dyDescent="0.3">
      <c r="A6" s="11" t="s">
        <v>49</v>
      </c>
      <c r="B6" s="11"/>
      <c r="C6" s="11"/>
      <c r="D6" s="11"/>
      <c r="E6" s="11"/>
      <c r="F6" s="9"/>
      <c r="G6" s="9"/>
      <c r="H6" s="11"/>
      <c r="I6" s="11"/>
      <c r="J6" s="12">
        <v>0</v>
      </c>
      <c r="K6" s="12">
        <v>0</v>
      </c>
      <c r="L6" s="11"/>
    </row>
    <row r="7" spans="1:12" ht="28.05" customHeight="1" x14ac:dyDescent="0.3">
      <c r="A7" s="8" t="s">
        <v>50</v>
      </c>
      <c r="B7" s="8"/>
      <c r="C7" s="8"/>
      <c r="D7" s="8"/>
      <c r="E7" s="8"/>
      <c r="F7" s="9"/>
      <c r="G7" s="9"/>
      <c r="H7" s="8"/>
      <c r="I7" s="8"/>
      <c r="J7" s="10">
        <v>0</v>
      </c>
      <c r="K7" s="10">
        <v>0</v>
      </c>
      <c r="L7" s="8"/>
    </row>
    <row r="8" spans="1:12" ht="28.05" customHeight="1" x14ac:dyDescent="0.3">
      <c r="A8" s="11" t="s">
        <v>51</v>
      </c>
      <c r="B8" s="11"/>
      <c r="C8" s="11"/>
      <c r="D8" s="11"/>
      <c r="E8" s="11"/>
      <c r="F8" s="9"/>
      <c r="G8" s="9"/>
      <c r="H8" s="11"/>
      <c r="I8" s="11"/>
      <c r="J8" s="12">
        <v>0</v>
      </c>
      <c r="K8" s="12">
        <v>0</v>
      </c>
      <c r="L8" s="11"/>
    </row>
    <row r="9" spans="1:12" ht="28.05" customHeight="1" x14ac:dyDescent="0.3">
      <c r="A9" s="8" t="s">
        <v>52</v>
      </c>
      <c r="B9" s="8"/>
      <c r="C9" s="8"/>
      <c r="D9" s="8"/>
      <c r="E9" s="8"/>
      <c r="F9" s="9"/>
      <c r="G9" s="9"/>
      <c r="H9" s="8"/>
      <c r="I9" s="8"/>
      <c r="J9" s="10">
        <v>0</v>
      </c>
      <c r="K9" s="10">
        <v>0</v>
      </c>
      <c r="L9" s="8"/>
    </row>
    <row r="10" spans="1:12" ht="28.05" customHeight="1" x14ac:dyDescent="0.3">
      <c r="A10" s="11" t="s">
        <v>53</v>
      </c>
      <c r="B10" s="11"/>
      <c r="C10" s="11"/>
      <c r="D10" s="11"/>
      <c r="E10" s="11"/>
      <c r="F10" s="9"/>
      <c r="G10" s="9"/>
      <c r="H10" s="11"/>
      <c r="I10" s="11"/>
      <c r="J10" s="12">
        <v>0</v>
      </c>
      <c r="K10" s="12">
        <v>0</v>
      </c>
      <c r="L10" s="11"/>
    </row>
    <row r="11" spans="1:12" ht="28.05" customHeight="1" x14ac:dyDescent="0.3">
      <c r="A11" s="8" t="s">
        <v>54</v>
      </c>
      <c r="B11" s="8"/>
      <c r="C11" s="8"/>
      <c r="D11" s="8"/>
      <c r="E11" s="8"/>
      <c r="F11" s="9"/>
      <c r="G11" s="9"/>
      <c r="H11" s="8"/>
      <c r="I11" s="8"/>
      <c r="J11" s="10">
        <v>0</v>
      </c>
      <c r="K11" s="10">
        <v>0</v>
      </c>
      <c r="L11" s="8"/>
    </row>
    <row r="12" spans="1:12" ht="28.05" customHeight="1" x14ac:dyDescent="0.3">
      <c r="A12" s="11" t="s">
        <v>55</v>
      </c>
      <c r="B12" s="11"/>
      <c r="C12" s="11"/>
      <c r="D12" s="11"/>
      <c r="E12" s="11"/>
      <c r="F12" s="9"/>
      <c r="G12" s="9"/>
      <c r="H12" s="11"/>
      <c r="I12" s="11"/>
      <c r="J12" s="12">
        <v>0</v>
      </c>
      <c r="K12" s="12">
        <v>0</v>
      </c>
      <c r="L12" s="11"/>
    </row>
    <row r="13" spans="1:12" ht="28.05" customHeight="1" x14ac:dyDescent="0.3">
      <c r="A13" s="8" t="s">
        <v>56</v>
      </c>
      <c r="B13" s="8"/>
      <c r="C13" s="8"/>
      <c r="D13" s="8"/>
      <c r="E13" s="8"/>
      <c r="F13" s="9"/>
      <c r="G13" s="9"/>
      <c r="H13" s="8"/>
      <c r="I13" s="8"/>
      <c r="J13" s="10">
        <v>0</v>
      </c>
      <c r="K13" s="10">
        <v>0</v>
      </c>
      <c r="L13" s="8"/>
    </row>
    <row r="14" spans="1:12" ht="28.05" customHeight="1" x14ac:dyDescent="0.3">
      <c r="A14" s="11" t="s">
        <v>57</v>
      </c>
      <c r="B14" s="11"/>
      <c r="C14" s="11"/>
      <c r="D14" s="11"/>
      <c r="E14" s="11"/>
      <c r="F14" s="9"/>
      <c r="G14" s="9"/>
      <c r="H14" s="11"/>
      <c r="I14" s="11"/>
      <c r="J14" s="12">
        <v>0</v>
      </c>
      <c r="K14" s="12">
        <v>0</v>
      </c>
      <c r="L14" s="11"/>
    </row>
    <row r="15" spans="1:12" ht="28.05" customHeight="1" x14ac:dyDescent="0.3">
      <c r="A15" s="8" t="s">
        <v>58</v>
      </c>
      <c r="B15" s="8"/>
      <c r="C15" s="8"/>
      <c r="D15" s="8"/>
      <c r="E15" s="8"/>
      <c r="F15" s="9"/>
      <c r="G15" s="9"/>
      <c r="H15" s="8"/>
      <c r="I15" s="8"/>
      <c r="J15" s="10">
        <v>0</v>
      </c>
      <c r="K15" s="10">
        <v>0</v>
      </c>
      <c r="L15" s="8"/>
    </row>
    <row r="16" spans="1:12" ht="28.05" customHeight="1" x14ac:dyDescent="0.3">
      <c r="A16" s="11" t="s">
        <v>59</v>
      </c>
      <c r="B16" s="11"/>
      <c r="C16" s="11"/>
      <c r="D16" s="11"/>
      <c r="E16" s="11"/>
      <c r="F16" s="9"/>
      <c r="G16" s="9"/>
      <c r="H16" s="11"/>
      <c r="I16" s="11"/>
      <c r="J16" s="12">
        <v>0</v>
      </c>
      <c r="K16" s="12">
        <v>0</v>
      </c>
      <c r="L16" s="11"/>
    </row>
    <row r="17" spans="1:12" ht="28.05" customHeight="1" x14ac:dyDescent="0.3">
      <c r="A17" s="8" t="s">
        <v>60</v>
      </c>
      <c r="B17" s="8"/>
      <c r="C17" s="8"/>
      <c r="D17" s="8"/>
      <c r="E17" s="8"/>
      <c r="F17" s="9"/>
      <c r="G17" s="9"/>
      <c r="H17" s="8"/>
      <c r="I17" s="8"/>
      <c r="J17" s="10">
        <v>0</v>
      </c>
      <c r="K17" s="10">
        <v>0</v>
      </c>
      <c r="L17" s="8"/>
    </row>
    <row r="18" spans="1:12" ht="28.05" customHeight="1" x14ac:dyDescent="0.3">
      <c r="A18" s="11" t="s">
        <v>61</v>
      </c>
      <c r="B18" s="11"/>
      <c r="C18" s="11"/>
      <c r="D18" s="11"/>
      <c r="E18" s="11"/>
      <c r="F18" s="9"/>
      <c r="G18" s="9"/>
      <c r="H18" s="11"/>
      <c r="I18" s="11"/>
      <c r="J18" s="12">
        <v>0</v>
      </c>
      <c r="K18" s="12">
        <v>0</v>
      </c>
      <c r="L18" s="11"/>
    </row>
    <row r="19" spans="1:12" ht="28.05" customHeight="1" x14ac:dyDescent="0.3">
      <c r="A19" s="8" t="s">
        <v>62</v>
      </c>
      <c r="B19" s="8"/>
      <c r="C19" s="8"/>
      <c r="D19" s="8"/>
      <c r="E19" s="8"/>
      <c r="F19" s="9"/>
      <c r="G19" s="9"/>
      <c r="H19" s="8"/>
      <c r="I19" s="8"/>
      <c r="J19" s="10">
        <v>0</v>
      </c>
      <c r="K19" s="10">
        <v>0</v>
      </c>
      <c r="L19" s="8"/>
    </row>
    <row r="21" spans="1:12" ht="19.95" customHeight="1" x14ac:dyDescent="0.3">
      <c r="A21" s="26" t="s">
        <v>63</v>
      </c>
      <c r="B21" s="24"/>
      <c r="C21" s="24"/>
      <c r="D21" s="24"/>
      <c r="E21" s="24"/>
      <c r="F21" s="24"/>
      <c r="G21" s="24"/>
      <c r="H21" s="24"/>
      <c r="I21" s="24"/>
      <c r="J21" s="24"/>
      <c r="K21" s="24"/>
      <c r="L21" s="24"/>
    </row>
    <row r="22" spans="1:12" ht="22.05" customHeight="1" x14ac:dyDescent="0.3">
      <c r="A22" s="13" t="s">
        <v>64</v>
      </c>
      <c r="B22" s="14" t="s">
        <v>65</v>
      </c>
    </row>
    <row r="23" spans="1:12" ht="22.05" customHeight="1" x14ac:dyDescent="0.3">
      <c r="A23" s="15" t="s">
        <v>66</v>
      </c>
      <c r="B23" s="14" t="s">
        <v>67</v>
      </c>
    </row>
    <row r="24" spans="1:12" ht="22.05" customHeight="1" x14ac:dyDescent="0.3">
      <c r="A24" s="16" t="s">
        <v>68</v>
      </c>
      <c r="B24" s="14" t="s">
        <v>69</v>
      </c>
    </row>
  </sheetData>
  <mergeCells count="3">
    <mergeCell ref="A2:L2"/>
    <mergeCell ref="A21:L21"/>
    <mergeCell ref="A1:L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1"/>
  <sheetViews>
    <sheetView workbookViewId="0">
      <pane ySplit="4" topLeftCell="A5" activePane="bottomLeft" state="frozen"/>
      <selection pane="bottomLeft"/>
    </sheetView>
  </sheetViews>
  <sheetFormatPr defaultRowHeight="14.4" x14ac:dyDescent="0.3"/>
  <cols>
    <col min="1" max="1" width="10" customWidth="1"/>
    <col min="2" max="2" width="8" customWidth="1"/>
    <col min="3" max="3" width="20" customWidth="1"/>
    <col min="4" max="4" width="14" customWidth="1"/>
    <col min="5" max="5" width="44" customWidth="1"/>
    <col min="6" max="6" width="16" customWidth="1"/>
    <col min="7" max="7" width="14" customWidth="1"/>
    <col min="8" max="8" width="32" customWidth="1"/>
  </cols>
  <sheetData>
    <row r="1" spans="1:8" ht="25.95" customHeight="1" x14ac:dyDescent="0.3">
      <c r="A1" s="23" t="s">
        <v>70</v>
      </c>
      <c r="B1" s="24"/>
      <c r="C1" s="24"/>
      <c r="D1" s="24"/>
      <c r="E1" s="24"/>
      <c r="F1" s="24"/>
      <c r="G1" s="24"/>
      <c r="H1" s="24"/>
    </row>
    <row r="2" spans="1:8" ht="18" customHeight="1" x14ac:dyDescent="0.3">
      <c r="A2" s="25" t="s">
        <v>71</v>
      </c>
      <c r="B2" s="24"/>
      <c r="C2" s="24"/>
      <c r="D2" s="24"/>
      <c r="E2" s="24"/>
      <c r="F2" s="24"/>
      <c r="G2" s="24"/>
      <c r="H2" s="24"/>
    </row>
    <row r="3" spans="1:8" ht="7.95" customHeight="1" x14ac:dyDescent="0.3"/>
    <row r="4" spans="1:8" ht="24" customHeight="1" x14ac:dyDescent="0.3">
      <c r="A4" s="7" t="s">
        <v>36</v>
      </c>
      <c r="B4" s="7" t="s">
        <v>72</v>
      </c>
      <c r="C4" s="7" t="s">
        <v>73</v>
      </c>
      <c r="D4" s="7" t="s">
        <v>74</v>
      </c>
      <c r="E4" s="7" t="s">
        <v>75</v>
      </c>
      <c r="F4" s="7" t="s">
        <v>76</v>
      </c>
      <c r="G4" s="7" t="s">
        <v>77</v>
      </c>
      <c r="H4" s="7" t="s">
        <v>78</v>
      </c>
    </row>
    <row r="5" spans="1:8" ht="22.05" customHeight="1" x14ac:dyDescent="0.3">
      <c r="A5" s="8" t="s">
        <v>48</v>
      </c>
      <c r="B5" s="8"/>
      <c r="C5" s="8"/>
      <c r="D5" s="8"/>
      <c r="E5" s="8"/>
      <c r="F5" s="17" t="s">
        <v>79</v>
      </c>
      <c r="G5" s="8"/>
      <c r="H5" s="8"/>
    </row>
    <row r="6" spans="1:8" ht="22.05" customHeight="1" x14ac:dyDescent="0.3">
      <c r="A6" s="11" t="s">
        <v>49</v>
      </c>
      <c r="B6" s="11"/>
      <c r="C6" s="11"/>
      <c r="D6" s="11"/>
      <c r="E6" s="11"/>
      <c r="F6" s="17" t="s">
        <v>79</v>
      </c>
      <c r="G6" s="11"/>
      <c r="H6" s="11"/>
    </row>
    <row r="7" spans="1:8" ht="22.05" customHeight="1" x14ac:dyDescent="0.3">
      <c r="A7" s="8" t="s">
        <v>50</v>
      </c>
      <c r="B7" s="8"/>
      <c r="C7" s="8"/>
      <c r="D7" s="8"/>
      <c r="E7" s="8"/>
      <c r="F7" s="17" t="s">
        <v>79</v>
      </c>
      <c r="G7" s="8"/>
      <c r="H7" s="8"/>
    </row>
    <row r="8" spans="1:8" ht="22.05" customHeight="1" x14ac:dyDescent="0.3">
      <c r="A8" s="11" t="s">
        <v>51</v>
      </c>
      <c r="B8" s="11"/>
      <c r="C8" s="11"/>
      <c r="D8" s="11"/>
      <c r="E8" s="11"/>
      <c r="F8" s="17" t="s">
        <v>79</v>
      </c>
      <c r="G8" s="11"/>
      <c r="H8" s="11"/>
    </row>
    <row r="9" spans="1:8" ht="22.05" customHeight="1" x14ac:dyDescent="0.3">
      <c r="A9" s="8" t="s">
        <v>52</v>
      </c>
      <c r="B9" s="8"/>
      <c r="C9" s="8"/>
      <c r="D9" s="8"/>
      <c r="E9" s="8"/>
      <c r="F9" s="17" t="s">
        <v>79</v>
      </c>
      <c r="G9" s="8"/>
      <c r="H9" s="8"/>
    </row>
    <row r="10" spans="1:8" ht="22.05" customHeight="1" x14ac:dyDescent="0.3">
      <c r="A10" s="11" t="s">
        <v>53</v>
      </c>
      <c r="B10" s="11"/>
      <c r="C10" s="11"/>
      <c r="D10" s="11"/>
      <c r="E10" s="11"/>
      <c r="F10" s="17" t="s">
        <v>79</v>
      </c>
      <c r="G10" s="11"/>
      <c r="H10" s="11"/>
    </row>
    <row r="11" spans="1:8" ht="22.05" customHeight="1" x14ac:dyDescent="0.3">
      <c r="A11" s="8" t="s">
        <v>54</v>
      </c>
      <c r="B11" s="8"/>
      <c r="C11" s="8"/>
      <c r="D11" s="8"/>
      <c r="E11" s="8"/>
      <c r="F11" s="17" t="s">
        <v>79</v>
      </c>
      <c r="G11" s="8"/>
      <c r="H11" s="8"/>
    </row>
    <row r="12" spans="1:8" ht="22.05" customHeight="1" x14ac:dyDescent="0.3">
      <c r="A12" s="11" t="s">
        <v>55</v>
      </c>
      <c r="B12" s="11"/>
      <c r="C12" s="11"/>
      <c r="D12" s="11"/>
      <c r="E12" s="11"/>
      <c r="F12" s="17" t="s">
        <v>79</v>
      </c>
      <c r="G12" s="11"/>
      <c r="H12" s="11"/>
    </row>
    <row r="13" spans="1:8" ht="22.05" customHeight="1" x14ac:dyDescent="0.3">
      <c r="A13" s="8" t="s">
        <v>56</v>
      </c>
      <c r="B13" s="8"/>
      <c r="C13" s="8"/>
      <c r="D13" s="8"/>
      <c r="E13" s="8"/>
      <c r="F13" s="17" t="s">
        <v>79</v>
      </c>
      <c r="G13" s="8"/>
      <c r="H13" s="8"/>
    </row>
    <row r="14" spans="1:8" ht="22.05" customHeight="1" x14ac:dyDescent="0.3">
      <c r="A14" s="11" t="s">
        <v>57</v>
      </c>
      <c r="B14" s="11"/>
      <c r="C14" s="11"/>
      <c r="D14" s="11"/>
      <c r="E14" s="11"/>
      <c r="F14" s="17" t="s">
        <v>79</v>
      </c>
      <c r="G14" s="11"/>
      <c r="H14" s="11"/>
    </row>
    <row r="16" spans="1:8" ht="19.95" customHeight="1" x14ac:dyDescent="0.3">
      <c r="A16" s="26" t="s">
        <v>80</v>
      </c>
      <c r="B16" s="24"/>
      <c r="C16" s="24"/>
      <c r="D16" s="24"/>
      <c r="E16" s="24"/>
      <c r="F16" s="24"/>
      <c r="G16" s="24"/>
      <c r="H16" s="24"/>
    </row>
    <row r="17" spans="1:4" ht="24" customHeight="1" x14ac:dyDescent="0.3">
      <c r="A17" s="7" t="s">
        <v>73</v>
      </c>
      <c r="B17" s="7" t="s">
        <v>81</v>
      </c>
      <c r="C17" s="7" t="s">
        <v>82</v>
      </c>
      <c r="D17" s="7" t="s">
        <v>83</v>
      </c>
    </row>
    <row r="18" spans="1:4" ht="28.05" customHeight="1" x14ac:dyDescent="0.3">
      <c r="A18" s="18" t="s">
        <v>84</v>
      </c>
      <c r="B18" s="8" t="s">
        <v>85</v>
      </c>
      <c r="C18" s="8" t="s">
        <v>86</v>
      </c>
      <c r="D18" s="8" t="s">
        <v>87</v>
      </c>
    </row>
    <row r="19" spans="1:4" ht="28.05" customHeight="1" x14ac:dyDescent="0.3">
      <c r="A19" s="18" t="s">
        <v>88</v>
      </c>
      <c r="B19" s="8" t="s">
        <v>89</v>
      </c>
      <c r="C19" s="8" t="s">
        <v>90</v>
      </c>
      <c r="D19" s="8" t="s">
        <v>91</v>
      </c>
    </row>
    <row r="20" spans="1:4" ht="28.05" customHeight="1" x14ac:dyDescent="0.3">
      <c r="A20" s="18" t="s">
        <v>92</v>
      </c>
      <c r="B20" s="8" t="s">
        <v>93</v>
      </c>
      <c r="C20" s="8" t="s">
        <v>94</v>
      </c>
      <c r="D20" s="8" t="s">
        <v>95</v>
      </c>
    </row>
    <row r="21" spans="1:4" ht="28.05" customHeight="1" x14ac:dyDescent="0.3">
      <c r="A21" s="18" t="s">
        <v>96</v>
      </c>
      <c r="B21" s="8" t="s">
        <v>97</v>
      </c>
      <c r="C21" s="8" t="s">
        <v>98</v>
      </c>
      <c r="D21" s="8" t="s">
        <v>99</v>
      </c>
    </row>
  </sheetData>
  <mergeCells count="3">
    <mergeCell ref="A16:H16"/>
    <mergeCell ref="A2:H2"/>
    <mergeCell ref="A1:H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4"/>
  <sheetViews>
    <sheetView workbookViewId="0">
      <pane ySplit="4" topLeftCell="A5" activePane="bottomLeft" state="frozen"/>
      <selection pane="bottomLeft"/>
    </sheetView>
  </sheetViews>
  <sheetFormatPr defaultRowHeight="14.4" x14ac:dyDescent="0.3"/>
  <cols>
    <col min="1" max="1" width="36" customWidth="1"/>
    <col min="2" max="2" width="14" customWidth="1"/>
    <col min="3" max="3" width="22" customWidth="1"/>
    <col min="4" max="4" width="12" customWidth="1"/>
    <col min="5" max="5" width="10" customWidth="1"/>
    <col min="6" max="6" width="44" customWidth="1"/>
  </cols>
  <sheetData>
    <row r="1" spans="1:6" ht="25.95" customHeight="1" x14ac:dyDescent="0.3">
      <c r="A1" s="23" t="s">
        <v>100</v>
      </c>
      <c r="B1" s="24"/>
      <c r="C1" s="24"/>
      <c r="D1" s="24"/>
      <c r="E1" s="24"/>
      <c r="F1" s="24"/>
    </row>
    <row r="2" spans="1:6" ht="18" customHeight="1" x14ac:dyDescent="0.3">
      <c r="A2" s="25" t="s">
        <v>101</v>
      </c>
      <c r="B2" s="24"/>
      <c r="C2" s="24"/>
      <c r="D2" s="24"/>
      <c r="E2" s="24"/>
      <c r="F2" s="24"/>
    </row>
    <row r="3" spans="1:6" ht="7.95" customHeight="1" x14ac:dyDescent="0.3"/>
    <row r="4" spans="1:6" ht="19.95" customHeight="1" x14ac:dyDescent="0.3">
      <c r="A4" s="26" t="s">
        <v>102</v>
      </c>
      <c r="B4" s="24"/>
      <c r="C4" s="24"/>
      <c r="D4" s="24"/>
      <c r="E4" s="24"/>
      <c r="F4" s="24"/>
    </row>
    <row r="5" spans="1:6" ht="22.05" customHeight="1" x14ac:dyDescent="0.3">
      <c r="A5" s="4" t="s">
        <v>103</v>
      </c>
      <c r="B5" s="19">
        <v>3</v>
      </c>
    </row>
    <row r="6" spans="1:6" ht="22.05" customHeight="1" x14ac:dyDescent="0.3">
      <c r="A6" s="4" t="s">
        <v>104</v>
      </c>
      <c r="B6" s="19">
        <v>6</v>
      </c>
    </row>
    <row r="7" spans="1:6" ht="22.05" customHeight="1" x14ac:dyDescent="0.3">
      <c r="A7" s="4" t="s">
        <v>105</v>
      </c>
      <c r="B7" s="19">
        <v>10</v>
      </c>
    </row>
    <row r="9" spans="1:6" ht="19.95" customHeight="1" x14ac:dyDescent="0.3">
      <c r="A9" s="26" t="s">
        <v>106</v>
      </c>
      <c r="B9" s="24"/>
      <c r="C9" s="24"/>
      <c r="D9" s="24"/>
      <c r="E9" s="24"/>
      <c r="F9" s="24"/>
    </row>
    <row r="10" spans="1:6" ht="24" customHeight="1" x14ac:dyDescent="0.3">
      <c r="A10" s="7" t="s">
        <v>107</v>
      </c>
      <c r="B10" s="7" t="s">
        <v>108</v>
      </c>
      <c r="C10" s="7" t="s">
        <v>109</v>
      </c>
      <c r="D10" s="7" t="s">
        <v>78</v>
      </c>
    </row>
    <row r="11" spans="1:6" ht="22.05" customHeight="1" x14ac:dyDescent="0.3">
      <c r="A11" s="4" t="s">
        <v>110</v>
      </c>
      <c r="B11" s="6">
        <f>B5*B6*B7</f>
        <v>180</v>
      </c>
      <c r="C11" s="20">
        <f>B5*B6*B7</f>
        <v>180</v>
      </c>
      <c r="D11" s="5" t="s">
        <v>111</v>
      </c>
    </row>
    <row r="12" spans="1:6" ht="22.05" customHeight="1" x14ac:dyDescent="0.3">
      <c r="A12" s="4" t="s">
        <v>112</v>
      </c>
      <c r="B12" s="6">
        <f>B5*B6*B7*0.05</f>
        <v>9</v>
      </c>
      <c r="C12" s="20">
        <f>B5*B6*B7*0.05</f>
        <v>9</v>
      </c>
      <c r="D12" s="5" t="s">
        <v>113</v>
      </c>
    </row>
    <row r="13" spans="1:6" ht="22.05" customHeight="1" x14ac:dyDescent="0.3">
      <c r="A13" s="4" t="s">
        <v>114</v>
      </c>
      <c r="B13" s="6">
        <f>B5*B6*B7*0.1</f>
        <v>18</v>
      </c>
      <c r="C13" s="20">
        <f>B5*B6*B7*0.1</f>
        <v>18</v>
      </c>
      <c r="D13" s="5" t="s">
        <v>115</v>
      </c>
    </row>
    <row r="14" spans="1:6" ht="22.05" customHeight="1" x14ac:dyDescent="0.3">
      <c r="A14" s="4" t="s">
        <v>116</v>
      </c>
      <c r="B14" s="6">
        <f>B5*B6*B7*0.15</f>
        <v>27</v>
      </c>
      <c r="C14" s="20">
        <f>B5*B6*B7*0.15</f>
        <v>27</v>
      </c>
      <c r="D14" s="5" t="s">
        <v>117</v>
      </c>
    </row>
    <row r="15" spans="1:6" ht="22.05" customHeight="1" x14ac:dyDescent="0.3">
      <c r="A15" s="4" t="s">
        <v>118</v>
      </c>
      <c r="B15" s="6">
        <f>B5*B6*B7*9</f>
        <v>1620</v>
      </c>
      <c r="C15" s="20">
        <f>B5*B6*B7*9</f>
        <v>1620</v>
      </c>
      <c r="D15" s="5" t="s">
        <v>119</v>
      </c>
    </row>
    <row r="17" spans="1:6" ht="19.95" customHeight="1" x14ac:dyDescent="0.3">
      <c r="A17" s="26" t="s">
        <v>120</v>
      </c>
      <c r="B17" s="24"/>
      <c r="C17" s="24"/>
      <c r="D17" s="24"/>
      <c r="E17" s="24"/>
      <c r="F17" s="24"/>
    </row>
    <row r="18" spans="1:6" ht="24" customHeight="1" x14ac:dyDescent="0.3">
      <c r="A18" s="7" t="s">
        <v>72</v>
      </c>
      <c r="B18" s="7" t="s">
        <v>121</v>
      </c>
      <c r="C18" s="7" t="s">
        <v>122</v>
      </c>
      <c r="D18" s="7" t="s">
        <v>123</v>
      </c>
      <c r="E18" s="7" t="s">
        <v>124</v>
      </c>
      <c r="F18" s="7" t="s">
        <v>125</v>
      </c>
    </row>
    <row r="19" spans="1:6" ht="22.05" customHeight="1" x14ac:dyDescent="0.3">
      <c r="A19" s="21" t="s">
        <v>126</v>
      </c>
      <c r="B19" s="10">
        <f>B5*B6*B7</f>
        <v>180</v>
      </c>
      <c r="C19" s="22">
        <v>0</v>
      </c>
      <c r="D19" s="10" t="str">
        <f t="shared" ref="D19:D24" si="0">IF(B19=0,"—",TEXT(C19/B19,"0.0%"))</f>
        <v>0.0%</v>
      </c>
      <c r="E19" s="17" t="s">
        <v>127</v>
      </c>
      <c r="F19" s="8" t="s">
        <v>128</v>
      </c>
    </row>
    <row r="20" spans="1:6" ht="22.05" customHeight="1" x14ac:dyDescent="0.3">
      <c r="A20" s="21" t="s">
        <v>129</v>
      </c>
      <c r="B20" s="10">
        <f>B5*B6*B7</f>
        <v>180</v>
      </c>
      <c r="C20" s="22">
        <v>0</v>
      </c>
      <c r="D20" s="10" t="str">
        <f t="shared" si="0"/>
        <v>0.0%</v>
      </c>
      <c r="E20" s="17" t="s">
        <v>127</v>
      </c>
      <c r="F20" s="8" t="s">
        <v>128</v>
      </c>
    </row>
    <row r="21" spans="1:6" ht="22.05" customHeight="1" x14ac:dyDescent="0.3">
      <c r="A21" s="21" t="s">
        <v>130</v>
      </c>
      <c r="B21" s="10">
        <f>B5*B6*B7</f>
        <v>180</v>
      </c>
      <c r="C21" s="22">
        <v>0</v>
      </c>
      <c r="D21" s="10" t="str">
        <f t="shared" si="0"/>
        <v>0.0%</v>
      </c>
      <c r="E21" s="17" t="s">
        <v>127</v>
      </c>
      <c r="F21" s="8" t="s">
        <v>128</v>
      </c>
    </row>
    <row r="22" spans="1:6" ht="22.05" customHeight="1" x14ac:dyDescent="0.3">
      <c r="A22" s="21" t="s">
        <v>131</v>
      </c>
      <c r="B22" s="10">
        <f>B5*B6*B7</f>
        <v>180</v>
      </c>
      <c r="C22" s="22">
        <v>0</v>
      </c>
      <c r="D22" s="10" t="str">
        <f t="shared" si="0"/>
        <v>0.0%</v>
      </c>
      <c r="E22" s="17" t="s">
        <v>127</v>
      </c>
      <c r="F22" s="8" t="s">
        <v>128</v>
      </c>
    </row>
    <row r="23" spans="1:6" ht="22.05" customHeight="1" x14ac:dyDescent="0.3">
      <c r="A23" s="21" t="s">
        <v>132</v>
      </c>
      <c r="B23" s="10">
        <f>B5*B6*B7</f>
        <v>180</v>
      </c>
      <c r="C23" s="22">
        <v>0</v>
      </c>
      <c r="D23" s="10" t="str">
        <f t="shared" si="0"/>
        <v>0.0%</v>
      </c>
      <c r="E23" s="17" t="s">
        <v>127</v>
      </c>
      <c r="F23" s="8" t="s">
        <v>128</v>
      </c>
    </row>
    <row r="24" spans="1:6" ht="22.05" customHeight="1" x14ac:dyDescent="0.3">
      <c r="A24" s="21" t="s">
        <v>133</v>
      </c>
      <c r="B24" s="10">
        <f>B5*B6*B7</f>
        <v>180</v>
      </c>
      <c r="C24" s="22">
        <v>0</v>
      </c>
      <c r="D24" s="10" t="str">
        <f t="shared" si="0"/>
        <v>0.0%</v>
      </c>
      <c r="E24" s="17" t="s">
        <v>127</v>
      </c>
      <c r="F24" s="8" t="s">
        <v>128</v>
      </c>
    </row>
  </sheetData>
  <mergeCells count="5">
    <mergeCell ref="A2:F2"/>
    <mergeCell ref="A1:F1"/>
    <mergeCell ref="A9:F9"/>
    <mergeCell ref="A17:F17"/>
    <mergeCell ref="A4:F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Variance Log</vt:lpstr>
      <vt:lpstr>Decision Log</vt:lpstr>
      <vt:lpstr>Sprint Capacity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Tim Hislop</cp:lastModifiedBy>
  <dcterms:created xsi:type="dcterms:W3CDTF">2026-05-12T02:10:55Z</dcterms:created>
  <dcterms:modified xsi:type="dcterms:W3CDTF">2026-05-12T14:29:46Z</dcterms:modified>
</cp:coreProperties>
</file>